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062530_ad_unsw_edu_au/Documents/Research/Codon_Usage_4_Keiran/"/>
    </mc:Choice>
  </mc:AlternateContent>
  <xr:revisionPtr revIDLastSave="530" documentId="8_{0339DC59-F4C2-4348-B358-D922E1DB474B}" xr6:coauthVersionLast="47" xr6:coauthVersionMax="47" xr10:uidLastSave="{C023C2FC-0490-4677-83E1-4A853BCBCE28}"/>
  <bookViews>
    <workbookView xWindow="46530" yWindow="-16365" windowWidth="29040" windowHeight="15720" xr2:uid="{73F406CF-2D2C-4AD3-9BDD-B3582F91C40A}"/>
  </bookViews>
  <sheets>
    <sheet name="USETHISONEKEIRAN" sheetId="4" r:id="rId1"/>
    <sheet name="bin11" sheetId="1" r:id="rId2"/>
    <sheet name="bin214" sheetId="3" r:id="rId3"/>
    <sheet name="bin164" sheetId="2" r:id="rId4"/>
    <sheet name="set_xx4" sheetId="5" r:id="rId5"/>
    <sheet name="set_y" sheetId="6" r:id="rId6"/>
    <sheet name="x vs y" sheetId="8" r:id="rId7"/>
    <sheet name="Metho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 s="1"/>
  <c r="E4" i="4"/>
  <c r="F4" i="4" s="1"/>
  <c r="G3" i="6"/>
  <c r="E5" i="4"/>
  <c r="F5" i="4" s="1"/>
  <c r="G65" i="5"/>
  <c r="G64" i="5"/>
  <c r="G60" i="5"/>
  <c r="G56" i="5"/>
  <c r="G50" i="5"/>
  <c r="G44" i="5"/>
  <c r="G42" i="5"/>
  <c r="G38" i="5"/>
  <c r="G36" i="5"/>
  <c r="G29" i="5"/>
  <c r="G27" i="5"/>
  <c r="G24" i="5"/>
  <c r="G22" i="5"/>
  <c r="G18" i="5"/>
  <c r="G16" i="5"/>
  <c r="G14" i="5"/>
  <c r="G12" i="5"/>
  <c r="G10" i="5"/>
  <c r="G6" i="5"/>
  <c r="G65" i="6"/>
  <c r="G64" i="6"/>
  <c r="G60" i="6"/>
  <c r="G56" i="6"/>
  <c r="G50" i="6"/>
  <c r="G44" i="6"/>
  <c r="G42" i="6"/>
  <c r="G38" i="6"/>
  <c r="G36" i="6"/>
  <c r="I29" i="6"/>
  <c r="G29" i="6"/>
  <c r="G27" i="6"/>
  <c r="G24" i="6"/>
  <c r="G22" i="6"/>
  <c r="I18" i="6"/>
  <c r="G18" i="6"/>
  <c r="G16" i="6"/>
  <c r="G14" i="6"/>
  <c r="G12" i="6"/>
  <c r="G10" i="6"/>
  <c r="I6" i="6"/>
  <c r="G6" i="6"/>
  <c r="E57" i="4"/>
  <c r="F57" i="4" s="1"/>
  <c r="E58" i="4"/>
  <c r="F58" i="4" s="1"/>
  <c r="E59" i="4"/>
  <c r="F59" i="4" s="1"/>
  <c r="E57" i="1"/>
  <c r="E58" i="1"/>
  <c r="E59" i="1"/>
  <c r="E56" i="1"/>
  <c r="E51" i="1"/>
  <c r="E52" i="1"/>
  <c r="E53" i="1"/>
  <c r="E54" i="1"/>
  <c r="E55" i="1"/>
  <c r="E50" i="1"/>
  <c r="E57" i="2"/>
  <c r="E58" i="2"/>
  <c r="E59" i="2"/>
  <c r="E56" i="2"/>
  <c r="E51" i="2"/>
  <c r="E52" i="2"/>
  <c r="E53" i="2"/>
  <c r="E54" i="2"/>
  <c r="E55" i="2"/>
  <c r="E50" i="2"/>
  <c r="E56" i="4"/>
  <c r="F56" i="4" s="1"/>
  <c r="E51" i="4"/>
  <c r="F51" i="4" s="1"/>
  <c r="E52" i="4"/>
  <c r="F52" i="4" s="1"/>
  <c r="E53" i="4"/>
  <c r="F53" i="4" s="1"/>
  <c r="E54" i="4"/>
  <c r="F54" i="4" s="1"/>
  <c r="E55" i="4"/>
  <c r="F55" i="4" s="1"/>
  <c r="E50" i="4"/>
  <c r="F50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G12" i="4" s="1"/>
  <c r="E11" i="4"/>
  <c r="F11" i="4" s="1"/>
  <c r="E10" i="4"/>
  <c r="F10" i="4" s="1"/>
  <c r="G10" i="4" s="1"/>
  <c r="E9" i="4"/>
  <c r="F9" i="4" s="1"/>
  <c r="E8" i="4"/>
  <c r="F8" i="4" s="1"/>
  <c r="E7" i="4"/>
  <c r="F7" i="4" s="1"/>
  <c r="E6" i="4"/>
  <c r="F6" i="4" s="1"/>
  <c r="G6" i="4" s="1"/>
  <c r="E66" i="3"/>
  <c r="E65" i="3"/>
  <c r="E64" i="3"/>
  <c r="E63" i="3"/>
  <c r="E62" i="3"/>
  <c r="E61" i="3"/>
  <c r="E60" i="3"/>
  <c r="E59" i="3"/>
  <c r="E58" i="3"/>
  <c r="E57" i="3"/>
  <c r="E56" i="3"/>
  <c r="G56" i="3" s="1"/>
  <c r="E55" i="3"/>
  <c r="E54" i="3"/>
  <c r="E53" i="3"/>
  <c r="E52" i="3"/>
  <c r="E51" i="3"/>
  <c r="E50" i="3"/>
  <c r="G50" i="3" s="1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66" i="2"/>
  <c r="E65" i="2"/>
  <c r="E64" i="2"/>
  <c r="E63" i="2"/>
  <c r="E62" i="2"/>
  <c r="E61" i="2"/>
  <c r="E6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60" i="1"/>
  <c r="E61" i="1"/>
  <c r="E62" i="1"/>
  <c r="E63" i="1"/>
  <c r="E64" i="1"/>
  <c r="E65" i="1"/>
  <c r="E66" i="1"/>
  <c r="G3" i="4" l="1"/>
</calcChain>
</file>

<file path=xl/sharedStrings.xml><?xml version="1.0" encoding="utf-8"?>
<sst xmlns="http://schemas.openxmlformats.org/spreadsheetml/2006/main" count="1088" uniqueCount="134">
  <si>
    <t>triplet codon</t>
  </si>
  <si>
    <t>Amino Acid</t>
  </si>
  <si>
    <t>Frequency</t>
  </si>
  <si>
    <t>Fraction</t>
  </si>
  <si>
    <t>codon triplet</t>
  </si>
  <si>
    <t>Fraction/100</t>
  </si>
  <si>
    <t>Fraction/101</t>
  </si>
  <si>
    <t>TAA</t>
  </si>
  <si>
    <t>*</t>
  </si>
  <si>
    <t>TAG</t>
  </si>
  <si>
    <t>TGA</t>
  </si>
  <si>
    <t>GCA</t>
  </si>
  <si>
    <t>A</t>
  </si>
  <si>
    <t>GCC</t>
  </si>
  <si>
    <t>GCG</t>
  </si>
  <si>
    <t>GCT</t>
  </si>
  <si>
    <t>TGC</t>
  </si>
  <si>
    <t>C</t>
  </si>
  <si>
    <t>TGT</t>
  </si>
  <si>
    <t>GAC</t>
  </si>
  <si>
    <t>D</t>
  </si>
  <si>
    <t>GAT</t>
  </si>
  <si>
    <t>GAA</t>
  </si>
  <si>
    <t>E</t>
  </si>
  <si>
    <t>GAG</t>
  </si>
  <si>
    <t>TTC</t>
  </si>
  <si>
    <t>F</t>
  </si>
  <si>
    <t>TTT</t>
  </si>
  <si>
    <t>GGA</t>
  </si>
  <si>
    <t>G</t>
  </si>
  <si>
    <t>GGC</t>
  </si>
  <si>
    <t>GGG</t>
  </si>
  <si>
    <t>GGT</t>
  </si>
  <si>
    <t>CAC</t>
  </si>
  <si>
    <t>H</t>
  </si>
  <si>
    <t>CAT</t>
  </si>
  <si>
    <t>ATA</t>
  </si>
  <si>
    <t>I</t>
  </si>
  <si>
    <t>ATC</t>
  </si>
  <si>
    <t>ATT</t>
  </si>
  <si>
    <t>AAA</t>
  </si>
  <si>
    <t>K</t>
  </si>
  <si>
    <t>AAG</t>
  </si>
  <si>
    <t>CTA</t>
  </si>
  <si>
    <t>L</t>
  </si>
  <si>
    <t>CTC</t>
  </si>
  <si>
    <t>CTG</t>
  </si>
  <si>
    <t>CTT</t>
  </si>
  <si>
    <t>TTA</t>
  </si>
  <si>
    <t>TTG</t>
  </si>
  <si>
    <t>ATG</t>
  </si>
  <si>
    <t>M</t>
  </si>
  <si>
    <t>AAC</t>
  </si>
  <si>
    <t>N</t>
  </si>
  <si>
    <t>AAT</t>
  </si>
  <si>
    <t>CCA</t>
  </si>
  <si>
    <t>P</t>
  </si>
  <si>
    <t>CCC</t>
  </si>
  <si>
    <t>CCG</t>
  </si>
  <si>
    <t>CCT</t>
  </si>
  <si>
    <t>CAA</t>
  </si>
  <si>
    <t>Q</t>
  </si>
  <si>
    <t>CAG</t>
  </si>
  <si>
    <t>AGA</t>
  </si>
  <si>
    <t>R</t>
  </si>
  <si>
    <t>AGG</t>
  </si>
  <si>
    <t>CGA</t>
  </si>
  <si>
    <t>CGC</t>
  </si>
  <si>
    <t>CGG</t>
  </si>
  <si>
    <t>CGT</t>
  </si>
  <si>
    <t>AGC</t>
  </si>
  <si>
    <t>S</t>
  </si>
  <si>
    <t>TCA</t>
  </si>
  <si>
    <t>TCC</t>
  </si>
  <si>
    <t>TCG</t>
  </si>
  <si>
    <t>TCT</t>
  </si>
  <si>
    <t>AGT</t>
  </si>
  <si>
    <t>ACA</t>
  </si>
  <si>
    <t>T</t>
  </si>
  <si>
    <t>ACC</t>
  </si>
  <si>
    <t>ACG</t>
  </si>
  <si>
    <t>ACT</t>
  </si>
  <si>
    <t>GTA</t>
  </si>
  <si>
    <t>V</t>
  </si>
  <si>
    <t>GTC</t>
  </si>
  <si>
    <t>GTG</t>
  </si>
  <si>
    <t>GTT</t>
  </si>
  <si>
    <t>TGG</t>
  </si>
  <si>
    <t>W</t>
  </si>
  <si>
    <t>TAC</t>
  </si>
  <si>
    <t>Y</t>
  </si>
  <si>
    <t>TAT</t>
  </si>
  <si>
    <t>Fraction Comparison</t>
  </si>
  <si>
    <t>Average</t>
  </si>
  <si>
    <t>Sum 100</t>
  </si>
  <si>
    <t>y</t>
  </si>
  <si>
    <t>x</t>
  </si>
  <si>
    <t>Date</t>
  </si>
  <si>
    <t>What I did</t>
  </si>
  <si>
    <t>Results</t>
  </si>
  <si>
    <t>Ran CompareM across the MAGs to generate codon usage for each MAG.
Output gives frequency per 1000. Using Excel, I calculated the fraction for each protein.</t>
  </si>
  <si>
    <t>Compare the codon usage between bin 164 and 214 --&gt; same codon usage (MAG_x)
Compare the codon usage between bin 217 and 11 --&gt; same codon usage (MAG_y)
Averaged them for the fractions and used to make an E.coli to MAG conversion table</t>
  </si>
  <si>
    <t>Amino acid sequences of each tubulin type of MAG set Y were aligned in Snap Gene using SW algorith. 217 taken as consensus.</t>
  </si>
  <si>
    <t>Y_reverse</t>
  </si>
  <si>
    <t>100% identity: 100% similarity 0.00% gaps</t>
  </si>
  <si>
    <t>bin 217 used</t>
  </si>
  <si>
    <t>Y_alpha</t>
  </si>
  <si>
    <t>Y_beta</t>
  </si>
  <si>
    <t xml:space="preserve">Amino acid sequences of each tubulin type of MAG set X were aligned in Snap Gene using SW algorith. </t>
  </si>
  <si>
    <t>X_alpha</t>
  </si>
  <si>
    <t>99.76% identity: 100% similarity: 0.00% gaps</t>
  </si>
  <si>
    <t>8bp insertion with bin 214 --&gt; take this as consensus</t>
  </si>
  <si>
    <t>X_beta</t>
  </si>
  <si>
    <t>X_reverse</t>
  </si>
  <si>
    <t>99.79% identity: 100% similarity: 0.00% gaps</t>
  </si>
  <si>
    <t>T(243) in 164 = H(243) in 214</t>
  </si>
  <si>
    <t>X_solo</t>
  </si>
  <si>
    <t>99.78% identity: 99.78%similairy: 0.00% gaps</t>
  </si>
  <si>
    <t>I(48) in 164 = T(48) in 214</t>
  </si>
  <si>
    <t>Amino acid of consensus sequence of X and Y compared</t>
  </si>
  <si>
    <t>alpha</t>
  </si>
  <si>
    <t>63.92% identity, 8y.02% identity. 0.47% gaps</t>
  </si>
  <si>
    <t>beta</t>
  </si>
  <si>
    <t>72.04% identity, 87.20% similarity 0.24% gaps</t>
  </si>
  <si>
    <t>reverse</t>
  </si>
  <si>
    <t>Manually created a conversion table for X and Y codon usage to e.coli
ran through the translation optimisation script</t>
  </si>
  <si>
    <t>Took the converted a.a sequence of the translated script and compared to the amino acid consensus to check that the translation optimisation script didn't have any errors</t>
  </si>
  <si>
    <t>x_tub_a native contained TTG start codon which is translated to an L codon in E.coli. Changed to ATG in Research\MAGs\July_21_Enrichment_MAGS\codon_usage\tubA_tubB_optimised.fa</t>
  </si>
  <si>
    <t>results in /MAGS/Cytoskeleton?tubulin/Alignment_Analysis/MAG_X/ x_consensus</t>
  </si>
  <si>
    <t>look at multimer structure of prosthecobacter 2btq to determine tail end potentials for my own sequences
tub1 (prior tubA) and tub2(tubB). 
tub2 --&gt; N terminal is free but connected to active site. Not C-contacs with neighbour.
tub1 --&gt; C terminus is ok. Not N - contacts with neighbour</t>
  </si>
  <si>
    <t>Conclusion:
add his tag on C-terminus of tub1 with tub1 cloned into cloning site 1</t>
  </si>
  <si>
    <t xml:space="preserve">Plasmid constructs made --&gt; 
Removed internal RS, added appropriate end cutters at front/end. Added stop codon and -gly+his-tag where required.
Added extra bases for fussy base pairs
</t>
  </si>
  <si>
    <t>Plasmid construct --&gt; C:\Users\z5062530\OneDrive - UNSW\Research\MAGs\July_21_Enrichment_MAGS\codon_usage/tubA_tubB_optimised. Files X_tub1/Xtub2 and YTub1/Ytub2</t>
  </si>
  <si>
    <t xml:space="preserve">Checked that the a.a sequence in plamid matched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</si>
</sst>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3" xfId="0" applyBorder="1"/>
    <xf numFmtId="15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5C8D3B-FF64-4C8A-92A4-FC7BE9072676}" name="Table820" displayName="Table820" ref="B2:G66" totalsRowShown="0" headerRowDxfId="10">
  <autoFilter ref="B2:G66" xr:uid="{00000000-0009-0000-0100-000013000000}"/>
  <sortState xmlns:xlrd2="http://schemas.microsoft.com/office/spreadsheetml/2017/richdata2" ref="B3:E66">
    <sortCondition ref="C2:C66"/>
  </sortState>
  <tableColumns count="6">
    <tableColumn id="1" xr3:uid="{B7AFE5B5-633E-47EE-BB66-77235E808F76}" name="codon triplet"/>
    <tableColumn id="2" xr3:uid="{4A7827F1-750D-4D71-BC1D-78991729746F}" name="Amino Acid"/>
    <tableColumn id="3" xr3:uid="{2CB25533-42A5-4544-8D8F-80DCAFED0D06}" name="Frequency"/>
    <tableColumn id="4" xr3:uid="{DE5F9FCB-B58F-4A86-B24C-A5B04182B87C}" name="Fraction"/>
    <tableColumn id="5" xr3:uid="{0AE65D78-BE4C-4C50-A0B0-AFF71DECA521}" name="Fraction/100" dataDxfId="9">
      <calculatedColumnFormula>Table820[[#This Row],[Fraction]]/100</calculatedColumnFormula>
    </tableColumn>
    <tableColumn id="6" xr3:uid="{FB44F649-FD33-4FE5-A1BB-40545A4C37FD}" name="Fraction/10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B5BC9-9213-4267-AA78-9E61408385E0}" name="Table818" displayName="Table818" ref="B2:E66" totalsRowShown="0" headerRowDxfId="8">
  <autoFilter ref="B2:E66" xr:uid="{00000000-0009-0000-0100-000011000000}"/>
  <sortState xmlns:xlrd2="http://schemas.microsoft.com/office/spreadsheetml/2017/richdata2" ref="B3:E66">
    <sortCondition ref="C2:C66"/>
  </sortState>
  <tableColumns count="4">
    <tableColumn id="1" xr3:uid="{00000000-0010-0000-0100-000001000000}" name="codon triplet"/>
    <tableColumn id="2" xr3:uid="{00000000-0010-0000-0100-000002000000}" name="Amino Acid"/>
    <tableColumn id="3" xr3:uid="{00000000-0010-0000-0100-000003000000}" name="Frequency"/>
    <tableColumn id="4" xr3:uid="{00000000-0010-0000-0100-000004000000}" name="Frac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9FDD10-2623-4FA4-A516-A867157E27F5}" name="Table4" displayName="Table4" ref="B2:D66" totalsRowShown="0" headerRowDxfId="7">
  <autoFilter ref="B2:D66" xr:uid="{00000000-0009-0000-0100-000004000000}"/>
  <sortState xmlns:xlrd2="http://schemas.microsoft.com/office/spreadsheetml/2017/richdata2" ref="B3:D66">
    <sortCondition ref="C2:C66"/>
  </sortState>
  <tableColumns count="3">
    <tableColumn id="1" xr3:uid="{982F46BD-4C15-4018-9D54-70D649BCCEE4}" name="triplet codon"/>
    <tableColumn id="2" xr3:uid="{B0B5B12A-44E8-440A-9C36-A0BC6F93E37C}" name="Amino Acid"/>
    <tableColumn id="3" xr3:uid="{DB88AF10-C001-4C99-8C96-8D302B05F57F}" name="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E3541-9C09-456B-B96B-B300CB8C519C}" name="Table6" displayName="Table6" ref="B2:E66" totalsRowShown="0" headerRowDxfId="6">
  <autoFilter ref="B2:E66" xr:uid="{00000000-0009-0000-0100-000006000000}"/>
  <sortState xmlns:xlrd2="http://schemas.microsoft.com/office/spreadsheetml/2017/richdata2" ref="B3:E66">
    <sortCondition ref="C2:C66"/>
  </sortState>
  <tableColumns count="4">
    <tableColumn id="1" xr3:uid="{5B2D930C-C0EE-468E-B5C2-1CF0197BC7E3}" name="triplet codon"/>
    <tableColumn id="2" xr3:uid="{3EF17EB0-6BC9-43C7-8875-73D9C8FB8EF0}" name="Amino Acid"/>
    <tableColumn id="3" xr3:uid="{3E6B8397-7603-46FF-8006-BDF9A36D8DD5}" name="Frequency"/>
    <tableColumn id="4" xr3:uid="{5C1AAF55-36E7-4D26-BFE9-0F22ABB0677B}" name="Fra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3AB9-3879-4D99-8151-4B265C88D6A1}">
  <dimension ref="B1:G66"/>
  <sheetViews>
    <sheetView tabSelected="1" workbookViewId="0">
      <selection activeCell="F27" sqref="F27"/>
    </sheetView>
  </sheetViews>
  <sheetFormatPr defaultRowHeight="14.45"/>
  <cols>
    <col min="2" max="2" width="11.85546875" customWidth="1"/>
    <col min="3" max="4" width="11.140625" customWidth="1"/>
    <col min="5" max="5" width="11.85546875" customWidth="1"/>
  </cols>
  <sheetData>
    <row r="1" spans="2:7">
      <c r="B1" s="4" t="s">
        <v>0</v>
      </c>
      <c r="C1" s="4" t="s">
        <v>1</v>
      </c>
      <c r="D1" s="4" t="s">
        <v>2</v>
      </c>
      <c r="E1" s="4" t="s">
        <v>3</v>
      </c>
    </row>
    <row r="2" spans="2:7" ht="15">
      <c r="B2" s="4" t="s">
        <v>4</v>
      </c>
      <c r="C2" s="4" t="s">
        <v>1</v>
      </c>
      <c r="D2" s="4" t="s">
        <v>2</v>
      </c>
      <c r="E2" s="4" t="s">
        <v>3</v>
      </c>
      <c r="F2" s="4" t="s">
        <v>5</v>
      </c>
      <c r="G2" s="4" t="s">
        <v>6</v>
      </c>
    </row>
    <row r="3" spans="2:7">
      <c r="B3" t="s">
        <v>7</v>
      </c>
      <c r="C3" t="s">
        <v>8</v>
      </c>
      <c r="D3">
        <v>70.44811</v>
      </c>
      <c r="E3">
        <f>Table820[[#This Row],[Frequency]]/(SUM($D$3:$D$5))</f>
        <v>0.71220791488942692</v>
      </c>
      <c r="F3">
        <f>Table820[[#This Row],[Fraction]]/100</f>
        <v>7.1220791488942692E-3</v>
      </c>
      <c r="G3">
        <f>SUM(F3:F5)</f>
        <v>1.0000000000000002E-2</v>
      </c>
    </row>
    <row r="4" spans="2:7">
      <c r="B4" t="s">
        <v>9</v>
      </c>
      <c r="C4" t="s">
        <v>8</v>
      </c>
      <c r="D4">
        <v>13.41981</v>
      </c>
      <c r="E4">
        <f>Table820[[#This Row],[Frequency]]/(SUM($D$3:$D$5))</f>
        <v>0.13566999736845006</v>
      </c>
      <c r="F4">
        <f>Table820[[#This Row],[Fraction]]/100</f>
        <v>1.3566999736845007E-3</v>
      </c>
    </row>
    <row r="5" spans="2:7">
      <c r="B5" t="s">
        <v>10</v>
      </c>
      <c r="C5" t="s">
        <v>8</v>
      </c>
      <c r="D5">
        <v>15.047169999999999</v>
      </c>
      <c r="E5">
        <f>Table820[[#This Row],[Frequency]]/(SUM($D$3:$D$5))</f>
        <v>0.15212208774212307</v>
      </c>
      <c r="F5">
        <f>Table820[[#This Row],[Fraction]]/100</f>
        <v>1.5212208774212307E-3</v>
      </c>
    </row>
    <row r="6" spans="2:7">
      <c r="B6" t="s">
        <v>11</v>
      </c>
      <c r="C6" t="s">
        <v>12</v>
      </c>
      <c r="D6">
        <v>1.8175250000000001</v>
      </c>
      <c r="E6">
        <f>(D6/SUM(D6:D9)*100)</f>
        <v>35.211704190106104</v>
      </c>
      <c r="F6">
        <f>Table820[[#This Row],[Fraction]]/100</f>
        <v>0.35211704190106102</v>
      </c>
      <c r="G6">
        <f>SUM(F6:F9)</f>
        <v>1</v>
      </c>
    </row>
    <row r="7" spans="2:7">
      <c r="B7" t="s">
        <v>13</v>
      </c>
      <c r="C7" t="s">
        <v>12</v>
      </c>
      <c r="D7">
        <v>0.93271499999999996</v>
      </c>
      <c r="E7">
        <f>(D7/SUM(D6:D9)*100)</f>
        <v>18.069894319844192</v>
      </c>
      <c r="F7">
        <f>Table820[[#This Row],[Fraction]]/100</f>
        <v>0.18069894319844193</v>
      </c>
    </row>
    <row r="8" spans="2:7">
      <c r="B8" t="s">
        <v>14</v>
      </c>
      <c r="C8" t="s">
        <v>12</v>
      </c>
      <c r="D8">
        <v>0.69613499999999995</v>
      </c>
      <c r="E8">
        <f>(D8/SUM(D6:D9)*100)</f>
        <v>13.486526840829979</v>
      </c>
      <c r="F8">
        <f>Table820[[#This Row],[Fraction]]/100</f>
        <v>0.13486526840829979</v>
      </c>
    </row>
    <row r="9" spans="2:7">
      <c r="B9" s="1" t="s">
        <v>15</v>
      </c>
      <c r="C9" s="1" t="s">
        <v>12</v>
      </c>
      <c r="D9" s="1">
        <v>1.7153320000000001</v>
      </c>
      <c r="E9" s="1">
        <f>(D9/SUM(D6:D9)*100)</f>
        <v>33.231874649219726</v>
      </c>
      <c r="F9">
        <f>Table820[[#This Row],[Fraction]]/100</f>
        <v>0.33231874649219728</v>
      </c>
    </row>
    <row r="10" spans="2:7">
      <c r="B10" t="s">
        <v>16</v>
      </c>
      <c r="C10" t="s">
        <v>17</v>
      </c>
      <c r="D10">
        <v>0.22437599999999999</v>
      </c>
      <c r="E10">
        <f>(D10/SUM(D10:D11)*100)</f>
        <v>23.428998052595581</v>
      </c>
      <c r="F10">
        <f>Table820[[#This Row],[Fraction]]/100</f>
        <v>0.23428998052595582</v>
      </c>
      <c r="G10">
        <f>SUM(F10:F11)</f>
        <v>1</v>
      </c>
    </row>
    <row r="11" spans="2:7">
      <c r="B11" s="1" t="s">
        <v>18</v>
      </c>
      <c r="C11" s="1" t="s">
        <v>17</v>
      </c>
      <c r="D11" s="1">
        <v>0.73330899999999999</v>
      </c>
      <c r="E11" s="1">
        <f>(D11/SUM(D10:D11)*100)</f>
        <v>76.571001947404412</v>
      </c>
      <c r="F11">
        <f>Table820[[#This Row],[Fraction]]/100</f>
        <v>0.76571001947404416</v>
      </c>
    </row>
    <row r="12" spans="2:7">
      <c r="B12" t="s">
        <v>19</v>
      </c>
      <c r="C12" t="s">
        <v>20</v>
      </c>
      <c r="D12">
        <v>0.64030399999999998</v>
      </c>
      <c r="E12">
        <f>(D12/SUM(D12:D13)*100)</f>
        <v>12.298600392292746</v>
      </c>
      <c r="F12">
        <f>Table820[[#This Row],[Fraction]]/100</f>
        <v>0.12298600392292747</v>
      </c>
      <c r="G12">
        <f>SUM(F12:F13)</f>
        <v>1</v>
      </c>
    </row>
    <row r="13" spans="2:7">
      <c r="B13" s="1" t="s">
        <v>21</v>
      </c>
      <c r="C13" s="1" t="s">
        <v>20</v>
      </c>
      <c r="D13" s="1">
        <v>4.5660119999999997</v>
      </c>
      <c r="E13" s="1">
        <f>(D13/SUM(D12:D13)*100)</f>
        <v>87.701399607707259</v>
      </c>
      <c r="F13">
        <f>Table820[[#This Row],[Fraction]]/100</f>
        <v>0.87701399607707264</v>
      </c>
    </row>
    <row r="14" spans="2:7">
      <c r="B14" t="s">
        <v>22</v>
      </c>
      <c r="C14" t="s">
        <v>23</v>
      </c>
      <c r="D14">
        <v>5.6080740000000002</v>
      </c>
      <c r="E14">
        <f>(D14/SUM(D14:D15)*100)</f>
        <v>84.891598885222109</v>
      </c>
      <c r="F14">
        <f>Table820[[#This Row],[Fraction]]/100</f>
        <v>0.84891598885222108</v>
      </c>
    </row>
    <row r="15" spans="2:7">
      <c r="B15" s="1" t="s">
        <v>24</v>
      </c>
      <c r="C15" s="1" t="s">
        <v>23</v>
      </c>
      <c r="D15" s="1">
        <v>0.998085</v>
      </c>
      <c r="E15" s="1">
        <f>(D15/SUM(D14:D15)*100)</f>
        <v>15.108401114777891</v>
      </c>
      <c r="F15">
        <f>Table820[[#This Row],[Fraction]]/100</f>
        <v>0.15108401114777892</v>
      </c>
    </row>
    <row r="16" spans="2:7">
      <c r="B16" t="s">
        <v>25</v>
      </c>
      <c r="C16" t="s">
        <v>26</v>
      </c>
      <c r="D16">
        <v>1.263984</v>
      </c>
      <c r="E16">
        <f>(D16/SUM(D16:D17)*100)</f>
        <v>23.432196579337994</v>
      </c>
      <c r="F16">
        <f>Table820[[#This Row],[Fraction]]/100</f>
        <v>0.23432196579337994</v>
      </c>
    </row>
    <row r="17" spans="2:6">
      <c r="B17" s="1" t="s">
        <v>27</v>
      </c>
      <c r="C17" s="1" t="s">
        <v>26</v>
      </c>
      <c r="D17" s="1">
        <v>4.1302349999999999</v>
      </c>
      <c r="E17" s="1">
        <f>(D17/SUM(D16:D17)*100)</f>
        <v>76.567803420662003</v>
      </c>
      <c r="F17">
        <f>Table820[[#This Row],[Fraction]]/100</f>
        <v>0.76567803420662006</v>
      </c>
    </row>
    <row r="18" spans="2:6">
      <c r="B18" t="s">
        <v>28</v>
      </c>
      <c r="C18" t="s">
        <v>29</v>
      </c>
      <c r="D18">
        <v>2.455444</v>
      </c>
      <c r="E18">
        <f>(D18/SUM(D18:D21)*100)</f>
        <v>43.604663345852977</v>
      </c>
      <c r="F18">
        <f>Table820[[#This Row],[Fraction]]/100</f>
        <v>0.43604663345852979</v>
      </c>
    </row>
    <row r="19" spans="2:6">
      <c r="B19" t="s">
        <v>30</v>
      </c>
      <c r="C19" t="s">
        <v>29</v>
      </c>
      <c r="D19">
        <v>0.55396199999999995</v>
      </c>
      <c r="E19">
        <f>(D19/SUM(D18:D21)*100)</f>
        <v>9.8374577129005623</v>
      </c>
      <c r="F19">
        <f>Table820[[#This Row],[Fraction]]/100</f>
        <v>9.8374577129005616E-2</v>
      </c>
    </row>
    <row r="20" spans="2:6">
      <c r="B20" t="s">
        <v>31</v>
      </c>
      <c r="C20" t="s">
        <v>29</v>
      </c>
      <c r="D20">
        <v>1.1168309999999999</v>
      </c>
      <c r="E20">
        <f>(D20/SUM(D18:D21)*100)</f>
        <v>19.833089155856261</v>
      </c>
      <c r="F20">
        <f>Table820[[#This Row],[Fraction]]/100</f>
        <v>0.19833089155856259</v>
      </c>
    </row>
    <row r="21" spans="2:6">
      <c r="B21" s="1" t="s">
        <v>32</v>
      </c>
      <c r="C21" s="1" t="s">
        <v>29</v>
      </c>
      <c r="D21" s="1">
        <v>1.5049129999999999</v>
      </c>
      <c r="E21" s="1">
        <f>(D21/SUM(D18:D21)*100)</f>
        <v>26.724789785390197</v>
      </c>
      <c r="F21">
        <f>Table820[[#This Row],[Fraction]]/100</f>
        <v>0.26724789785390196</v>
      </c>
    </row>
    <row r="22" spans="2:6">
      <c r="B22" t="s">
        <v>33</v>
      </c>
      <c r="C22" t="s">
        <v>34</v>
      </c>
      <c r="D22">
        <v>0.43654799999999999</v>
      </c>
      <c r="E22">
        <f>(D22/SUM(D22:D23)*100)</f>
        <v>19.351415423665173</v>
      </c>
      <c r="F22">
        <f>Table820[[#This Row],[Fraction]]/100</f>
        <v>0.19351415423665175</v>
      </c>
    </row>
    <row r="23" spans="2:6">
      <c r="B23" s="1" t="s">
        <v>35</v>
      </c>
      <c r="C23" s="1" t="s">
        <v>34</v>
      </c>
      <c r="D23" s="1">
        <v>1.8193490000000001</v>
      </c>
      <c r="E23" s="1">
        <f>(D23/SUM(D22:D23)*100)</f>
        <v>80.648584576334827</v>
      </c>
      <c r="F23">
        <f>Table820[[#This Row],[Fraction]]/100</f>
        <v>0.80648584576334825</v>
      </c>
    </row>
    <row r="24" spans="2:6">
      <c r="B24" t="s">
        <v>36</v>
      </c>
      <c r="C24" t="s">
        <v>37</v>
      </c>
      <c r="D24">
        <v>2.059857</v>
      </c>
      <c r="E24">
        <f>(D24/SUM(D24:D26)*100)</f>
        <v>21.747627654767282</v>
      </c>
      <c r="F24">
        <f>Table820[[#This Row],[Fraction]]/100</f>
        <v>0.21747627654767282</v>
      </c>
    </row>
    <row r="25" spans="2:6">
      <c r="B25" t="s">
        <v>38</v>
      </c>
      <c r="C25" t="s">
        <v>37</v>
      </c>
      <c r="D25">
        <v>2.1249470000000001</v>
      </c>
      <c r="E25">
        <f>(D25/SUM(D24:D26)*100)</f>
        <v>22.434837050394652</v>
      </c>
      <c r="F25">
        <f>Table820[[#This Row],[Fraction]]/100</f>
        <v>0.22434837050394651</v>
      </c>
    </row>
    <row r="26" spans="2:6">
      <c r="B26" t="s">
        <v>39</v>
      </c>
      <c r="C26" t="s">
        <v>37</v>
      </c>
      <c r="D26">
        <v>5.2868360000000001</v>
      </c>
      <c r="E26" s="1">
        <f>(D26/SUM(D24:D26)*100)</f>
        <v>55.817535294838059</v>
      </c>
      <c r="F26">
        <f>Table820[[#This Row],[Fraction]]/100</f>
        <v>0.55817535294838061</v>
      </c>
    </row>
    <row r="27" spans="2:6">
      <c r="B27" t="s">
        <v>40</v>
      </c>
      <c r="C27" t="s">
        <v>41</v>
      </c>
      <c r="D27">
        <v>6.0382400000000001</v>
      </c>
      <c r="E27">
        <f>(D27/SUM(D27:D28)*100)</f>
        <v>82.185989655974524</v>
      </c>
      <c r="F27">
        <f>Table820[[#This Row],[Fraction]]/100</f>
        <v>0.82185989655974523</v>
      </c>
    </row>
    <row r="28" spans="2:6">
      <c r="B28" t="s">
        <v>42</v>
      </c>
      <c r="C28" t="s">
        <v>41</v>
      </c>
      <c r="D28">
        <v>1.3088029999999999</v>
      </c>
      <c r="E28" s="1">
        <f>(D28/SUM($D$27:$D$28)*100)</f>
        <v>17.81401034402548</v>
      </c>
      <c r="F28">
        <f>Table820[[#This Row],[Fraction]]/100</f>
        <v>0.1781401034402548</v>
      </c>
    </row>
    <row r="29" spans="2:6">
      <c r="B29" t="s">
        <v>43</v>
      </c>
      <c r="C29" t="s">
        <v>44</v>
      </c>
      <c r="D29">
        <v>0.92836700000000005</v>
      </c>
      <c r="E29">
        <f>(D29/SUM(D29:D34)*100)</f>
        <v>9.3375711293441412</v>
      </c>
      <c r="F29">
        <f>Table820[[#This Row],[Fraction]]/100</f>
        <v>9.337571129344141E-2</v>
      </c>
    </row>
    <row r="30" spans="2:6">
      <c r="B30" t="s">
        <v>45</v>
      </c>
      <c r="C30" t="s">
        <v>44</v>
      </c>
      <c r="D30">
        <v>0.81663399999999997</v>
      </c>
      <c r="E30">
        <f>(D30/SUM(D29:D34)*100)</f>
        <v>8.2137538943551665</v>
      </c>
      <c r="F30">
        <f>Table820[[#This Row],[Fraction]]/100</f>
        <v>8.2137538943551663E-2</v>
      </c>
    </row>
    <row r="31" spans="2:6">
      <c r="B31" t="s">
        <v>46</v>
      </c>
      <c r="C31" t="s">
        <v>44</v>
      </c>
      <c r="D31">
        <v>0.42714999999999997</v>
      </c>
      <c r="E31">
        <f>(D31/SUM(D29:D34)*100)</f>
        <v>4.2963003940245068</v>
      </c>
      <c r="F31">
        <f>Table820[[#This Row],[Fraction]]/100</f>
        <v>4.2963003940245069E-2</v>
      </c>
    </row>
    <row r="32" spans="2:6">
      <c r="B32" t="s">
        <v>47</v>
      </c>
      <c r="C32" t="s">
        <v>44</v>
      </c>
      <c r="D32">
        <v>1.5195019999999999</v>
      </c>
      <c r="E32">
        <f>(D32/SUM(D29:D34)*100)</f>
        <v>15.283242517431878</v>
      </c>
      <c r="F32">
        <f>Table820[[#This Row],[Fraction]]/100</f>
        <v>0.15283242517431878</v>
      </c>
    </row>
    <row r="33" spans="2:6">
      <c r="B33" t="s">
        <v>48</v>
      </c>
      <c r="C33" t="s">
        <v>44</v>
      </c>
      <c r="D33">
        <v>4.740659</v>
      </c>
      <c r="E33">
        <f>(D33/SUM(D29:D34)*100)</f>
        <v>47.681833383204555</v>
      </c>
      <c r="F33">
        <f>Table820[[#This Row],[Fraction]]/100</f>
        <v>0.47681833383204553</v>
      </c>
    </row>
    <row r="34" spans="2:6">
      <c r="B34" s="3" t="s">
        <v>49</v>
      </c>
      <c r="C34" t="s">
        <v>44</v>
      </c>
      <c r="D34">
        <v>1.5099629999999999</v>
      </c>
      <c r="E34" s="1">
        <f>(D34/SUM(D29:D34)*100)</f>
        <v>15.187298681639765</v>
      </c>
      <c r="F34">
        <f>Table820[[#This Row],[Fraction]]/100</f>
        <v>0.15187298681639766</v>
      </c>
    </row>
    <row r="35" spans="2:6">
      <c r="B35" s="3" t="s">
        <v>50</v>
      </c>
      <c r="C35" t="s">
        <v>51</v>
      </c>
      <c r="D35">
        <v>2.2728009999999998</v>
      </c>
      <c r="E35" s="2">
        <f>(D35/SUM(D35:D35)*100)</f>
        <v>100</v>
      </c>
      <c r="F35">
        <f>Table820[[#This Row],[Fraction]]/100</f>
        <v>1</v>
      </c>
    </row>
    <row r="36" spans="2:6">
      <c r="B36" t="s">
        <v>52</v>
      </c>
      <c r="C36" t="s">
        <v>53</v>
      </c>
      <c r="D36">
        <v>0.97185299999999997</v>
      </c>
      <c r="E36">
        <f>(D36/SUM(D36:D37)*100)</f>
        <v>17.456156327358904</v>
      </c>
      <c r="F36">
        <f>Table820[[#This Row],[Fraction]]/100</f>
        <v>0.17456156327358904</v>
      </c>
    </row>
    <row r="37" spans="2:6">
      <c r="B37" t="s">
        <v>54</v>
      </c>
      <c r="C37" t="s">
        <v>53</v>
      </c>
      <c r="D37">
        <v>4.5955409999999999</v>
      </c>
      <c r="E37" s="1">
        <f>(D37/SUM(D36:D37)*100)</f>
        <v>82.543843672641088</v>
      </c>
      <c r="F37">
        <f>Table820[[#This Row],[Fraction]]/100</f>
        <v>0.82543843672641093</v>
      </c>
    </row>
    <row r="38" spans="2:6">
      <c r="B38" t="s">
        <v>55</v>
      </c>
      <c r="C38" t="s">
        <v>56</v>
      </c>
      <c r="D38">
        <v>1.1934940000000001</v>
      </c>
      <c r="E38">
        <f>(D38/SUM(D38:D41)*100)</f>
        <v>29.139986415106872</v>
      </c>
      <c r="F38">
        <f>Table820[[#This Row],[Fraction]]/100</f>
        <v>0.29139986415106872</v>
      </c>
    </row>
    <row r="39" spans="2:6">
      <c r="B39" t="s">
        <v>57</v>
      </c>
      <c r="C39" t="s">
        <v>56</v>
      </c>
      <c r="D39">
        <v>0.90150300000000005</v>
      </c>
      <c r="E39">
        <f>(D39/SUM(D38:D41)*100)</f>
        <v>22.010822989623819</v>
      </c>
      <c r="F39">
        <f>Table820[[#This Row],[Fraction]]/100</f>
        <v>0.22010822989623818</v>
      </c>
    </row>
    <row r="40" spans="2:6">
      <c r="B40" t="s">
        <v>58</v>
      </c>
      <c r="C40" t="s">
        <v>56</v>
      </c>
      <c r="D40">
        <v>0.58776899999999999</v>
      </c>
      <c r="E40">
        <f>(D40/SUM(D38:D41)*100)</f>
        <v>14.350789090871801</v>
      </c>
      <c r="F40">
        <f>Table820[[#This Row],[Fraction]]/100</f>
        <v>0.14350789090871802</v>
      </c>
    </row>
    <row r="41" spans="2:6">
      <c r="B41" t="s">
        <v>59</v>
      </c>
      <c r="C41" t="s">
        <v>56</v>
      </c>
      <c r="D41">
        <v>1.41296</v>
      </c>
      <c r="E41" s="1">
        <f>(D41/SUM(D38:D41)*100)</f>
        <v>34.498401504397513</v>
      </c>
      <c r="F41">
        <f>Table820[[#This Row],[Fraction]]/100</f>
        <v>0.34498401504397513</v>
      </c>
    </row>
    <row r="42" spans="2:6">
      <c r="B42" t="s">
        <v>60</v>
      </c>
      <c r="C42" t="s">
        <v>61</v>
      </c>
      <c r="D42">
        <v>3.7142379999999999</v>
      </c>
      <c r="E42">
        <f>(D42/SUM(D42:D43)*100)</f>
        <v>86.699201293355287</v>
      </c>
      <c r="F42">
        <f>Table820[[#This Row],[Fraction]]/100</f>
        <v>0.86699201293355288</v>
      </c>
    </row>
    <row r="43" spans="2:6">
      <c r="B43" t="s">
        <v>62</v>
      </c>
      <c r="C43" t="s">
        <v>61</v>
      </c>
      <c r="D43">
        <v>0.56981300000000001</v>
      </c>
      <c r="E43" s="1">
        <f>(D43/SUM(D42:D43)*100)</f>
        <v>13.300798706644718</v>
      </c>
      <c r="F43">
        <f>Table820[[#This Row],[Fraction]]/100</f>
        <v>0.13300798706644718</v>
      </c>
    </row>
    <row r="44" spans="2:6">
      <c r="B44" t="s">
        <v>63</v>
      </c>
      <c r="C44" t="s">
        <v>64</v>
      </c>
      <c r="D44">
        <v>0.71352899999999997</v>
      </c>
      <c r="E44">
        <f>(D44/SUM(D44:D49)*100)</f>
        <v>18.486610512145095</v>
      </c>
      <c r="F44">
        <f>Table820[[#This Row],[Fraction]]/100</f>
        <v>0.18486610512145096</v>
      </c>
    </row>
    <row r="45" spans="2:6">
      <c r="B45" t="s">
        <v>65</v>
      </c>
      <c r="C45" t="s">
        <v>64</v>
      </c>
      <c r="D45">
        <v>0.201651</v>
      </c>
      <c r="E45">
        <f>(D45/SUM(D44:D49)*100)</f>
        <v>5.2245157469206864</v>
      </c>
      <c r="F45">
        <f>Table820[[#This Row],[Fraction]]/100</f>
        <v>5.2245157469206861E-2</v>
      </c>
    </row>
    <row r="46" spans="2:6">
      <c r="B46" t="s">
        <v>66</v>
      </c>
      <c r="C46" t="s">
        <v>64</v>
      </c>
      <c r="D46">
        <v>1.2141850000000001</v>
      </c>
      <c r="E46">
        <f>(D46/SUM(D44:D49)*100)</f>
        <v>31.457957819077979</v>
      </c>
      <c r="F46">
        <f>Table820[[#This Row],[Fraction]]/100</f>
        <v>0.31457957819077981</v>
      </c>
    </row>
    <row r="47" spans="2:6">
      <c r="B47" t="s">
        <v>67</v>
      </c>
      <c r="C47" t="s">
        <v>64</v>
      </c>
      <c r="D47">
        <v>0.41704999999999998</v>
      </c>
      <c r="E47">
        <f>(D47/SUM(D44:D49)*100)</f>
        <v>10.805224334386004</v>
      </c>
      <c r="F47">
        <f>Table820[[#This Row],[Fraction]]/100</f>
        <v>0.10805224334386004</v>
      </c>
    </row>
    <row r="48" spans="2:6">
      <c r="B48" t="s">
        <v>68</v>
      </c>
      <c r="C48" t="s">
        <v>64</v>
      </c>
      <c r="D48">
        <v>0.60909100000000005</v>
      </c>
      <c r="E48">
        <f>(D48/SUM(D44:D49)*100)</f>
        <v>15.78075745127804</v>
      </c>
      <c r="F48">
        <f>Table820[[#This Row],[Fraction]]/100</f>
        <v>0.15780757451278041</v>
      </c>
    </row>
    <row r="49" spans="2:6">
      <c r="B49" t="s">
        <v>69</v>
      </c>
      <c r="C49" t="s">
        <v>64</v>
      </c>
      <c r="D49">
        <v>0.70420099999999997</v>
      </c>
      <c r="E49" s="1">
        <f>(D49/SUM(D44:D49)*100)</f>
        <v>18.244934136192203</v>
      </c>
      <c r="F49">
        <f>Table820[[#This Row],[Fraction]]/100</f>
        <v>0.18244934136192203</v>
      </c>
    </row>
    <row r="50" spans="2:6">
      <c r="B50" t="s">
        <v>70</v>
      </c>
      <c r="C50" t="s">
        <v>71</v>
      </c>
      <c r="D50">
        <v>0.41136800000000001</v>
      </c>
      <c r="E50">
        <f>(D50/SUM($D$50:$D$55)*100)</f>
        <v>6.4970274655799756</v>
      </c>
      <c r="F50">
        <f>Table820[[#This Row],[Fraction]]/100</f>
        <v>6.4970274655799756E-2</v>
      </c>
    </row>
    <row r="51" spans="2:6">
      <c r="B51" t="s">
        <v>72</v>
      </c>
      <c r="C51" t="s">
        <v>71</v>
      </c>
      <c r="D51">
        <v>1.4725790000000001</v>
      </c>
      <c r="E51">
        <f t="shared" ref="E51:E55" si="0">(D51/SUM($D$50:$D$55)*100)</f>
        <v>23.257487719599716</v>
      </c>
      <c r="F51">
        <f>Table820[[#This Row],[Fraction]]/100</f>
        <v>0.23257487719599715</v>
      </c>
    </row>
    <row r="52" spans="2:6">
      <c r="B52" t="s">
        <v>73</v>
      </c>
      <c r="C52" t="s">
        <v>71</v>
      </c>
      <c r="D52">
        <v>0.843638</v>
      </c>
      <c r="E52">
        <f t="shared" si="0"/>
        <v>13.324175086557435</v>
      </c>
      <c r="F52">
        <f>Table820[[#This Row],[Fraction]]/100</f>
        <v>0.13324175086557435</v>
      </c>
    </row>
    <row r="53" spans="2:6">
      <c r="B53" t="s">
        <v>74</v>
      </c>
      <c r="C53" t="s">
        <v>71</v>
      </c>
      <c r="D53">
        <v>0.64058400000000004</v>
      </c>
      <c r="E53">
        <f t="shared" si="0"/>
        <v>10.11719881471355</v>
      </c>
      <c r="F53">
        <f>Table820[[#This Row],[Fraction]]/100</f>
        <v>0.1011719881471355</v>
      </c>
    </row>
    <row r="54" spans="2:6">
      <c r="B54" t="s">
        <v>75</v>
      </c>
      <c r="C54" t="s">
        <v>71</v>
      </c>
      <c r="D54">
        <v>1.6811039999999999</v>
      </c>
      <c r="E54">
        <f t="shared" si="0"/>
        <v>26.550871386438317</v>
      </c>
      <c r="F54">
        <f>Table820[[#This Row],[Fraction]]/100</f>
        <v>0.26550871386438318</v>
      </c>
    </row>
    <row r="55" spans="2:6">
      <c r="B55" t="s">
        <v>76</v>
      </c>
      <c r="C55" t="s">
        <v>71</v>
      </c>
      <c r="D55">
        <v>1.2823610000000001</v>
      </c>
      <c r="E55" s="1">
        <f t="shared" si="0"/>
        <v>20.253239527111013</v>
      </c>
      <c r="F55">
        <f>Table820[[#This Row],[Fraction]]/100</f>
        <v>0.20253239527111014</v>
      </c>
    </row>
    <row r="56" spans="2:6">
      <c r="B56" t="s">
        <v>77</v>
      </c>
      <c r="C56" t="s">
        <v>78</v>
      </c>
      <c r="D56">
        <v>1.4671780000000001</v>
      </c>
      <c r="E56" s="6">
        <f>(D56/SUM($D$56:$D$59)*100)</f>
        <v>28.339179793274639</v>
      </c>
      <c r="F56">
        <f>Table820[[#This Row],[Fraction]]/100</f>
        <v>0.28339179793274638</v>
      </c>
    </row>
    <row r="57" spans="2:6">
      <c r="B57" t="s">
        <v>79</v>
      </c>
      <c r="C57" t="s">
        <v>78</v>
      </c>
      <c r="D57">
        <v>1.254235</v>
      </c>
      <c r="E57">
        <f t="shared" ref="E57:E59" si="1">(D57/SUM($D$56:$D$59)*100)</f>
        <v>24.226093335653758</v>
      </c>
      <c r="F57">
        <f>Table820[[#This Row],[Fraction]]/100</f>
        <v>0.24226093335653759</v>
      </c>
    </row>
    <row r="58" spans="2:6">
      <c r="B58" t="s">
        <v>80</v>
      </c>
      <c r="C58" t="s">
        <v>78</v>
      </c>
      <c r="D58">
        <v>0.58384100000000005</v>
      </c>
      <c r="E58">
        <f t="shared" si="1"/>
        <v>11.277142289269099</v>
      </c>
      <c r="F58">
        <f>Table820[[#This Row],[Fraction]]/100</f>
        <v>0.11277142289269099</v>
      </c>
    </row>
    <row r="59" spans="2:6">
      <c r="B59" t="s">
        <v>81</v>
      </c>
      <c r="C59" t="s">
        <v>78</v>
      </c>
      <c r="D59">
        <v>1.871953</v>
      </c>
      <c r="E59" s="1">
        <f t="shared" si="1"/>
        <v>36.157584581802503</v>
      </c>
      <c r="F59">
        <f>Table820[[#This Row],[Fraction]]/100</f>
        <v>0.36157584581802504</v>
      </c>
    </row>
    <row r="60" spans="2:6">
      <c r="B60" t="s">
        <v>82</v>
      </c>
      <c r="C60" t="s">
        <v>83</v>
      </c>
      <c r="D60">
        <v>1.5613049999999999</v>
      </c>
      <c r="E60">
        <f>(D60/SUM(D60:D63)*100)</f>
        <v>31.152468026572393</v>
      </c>
      <c r="F60">
        <f>Table820[[#This Row],[Fraction]]/100</f>
        <v>0.31152468026572394</v>
      </c>
    </row>
    <row r="61" spans="2:6">
      <c r="B61" t="s">
        <v>84</v>
      </c>
      <c r="C61" t="s">
        <v>83</v>
      </c>
      <c r="D61">
        <v>0.731765</v>
      </c>
      <c r="E61">
        <f>(D61/SUM(D60:D63)*100)</f>
        <v>14.600789573763453</v>
      </c>
      <c r="F61">
        <f>Table820[[#This Row],[Fraction]]/100</f>
        <v>0.14600789573763454</v>
      </c>
    </row>
    <row r="62" spans="2:6">
      <c r="B62" s="3" t="s">
        <v>85</v>
      </c>
      <c r="C62" t="s">
        <v>83</v>
      </c>
      <c r="D62">
        <v>1.0302089999999999</v>
      </c>
      <c r="E62">
        <f>(D62/SUM(D60:D63)*100)</f>
        <v>20.555594796139843</v>
      </c>
      <c r="F62">
        <f>Table820[[#This Row],[Fraction]]/100</f>
        <v>0.20555594796139842</v>
      </c>
    </row>
    <row r="63" spans="2:6">
      <c r="B63" t="s">
        <v>86</v>
      </c>
      <c r="C63" t="s">
        <v>83</v>
      </c>
      <c r="D63">
        <v>1.688539</v>
      </c>
      <c r="E63" s="1">
        <f>(D63/SUM(D60:D63)*100)</f>
        <v>33.691147603524314</v>
      </c>
      <c r="F63">
        <f>Table820[[#This Row],[Fraction]]/100</f>
        <v>0.33691147603524313</v>
      </c>
    </row>
    <row r="64" spans="2:6">
      <c r="B64" t="s">
        <v>87</v>
      </c>
      <c r="C64" t="s">
        <v>88</v>
      </c>
      <c r="D64">
        <v>1.2355069999999999</v>
      </c>
      <c r="E64" s="2">
        <f>(D64/SUM(D64)*100)</f>
        <v>100</v>
      </c>
      <c r="F64">
        <f>Table820[[#This Row],[Fraction]]/100</f>
        <v>1</v>
      </c>
    </row>
    <row r="65" spans="2:6">
      <c r="B65" t="s">
        <v>89</v>
      </c>
      <c r="C65" t="s">
        <v>90</v>
      </c>
      <c r="D65">
        <v>0.60137600000000002</v>
      </c>
      <c r="E65">
        <f>(D65/SUM(D65:D66)*100)</f>
        <v>14.352429939017641</v>
      </c>
      <c r="F65">
        <f>Table820[[#This Row],[Fraction]]/100</f>
        <v>0.14352429939017641</v>
      </c>
    </row>
    <row r="66" spans="2:6">
      <c r="B66" t="s">
        <v>91</v>
      </c>
      <c r="C66" t="s">
        <v>90</v>
      </c>
      <c r="D66">
        <v>3.5886879999999999</v>
      </c>
      <c r="E66" s="1">
        <f>(D66/SUM(D65:D66)*100)</f>
        <v>85.647570060982375</v>
      </c>
      <c r="F66">
        <f>Table820[[#This Row],[Fraction]]/100</f>
        <v>0.8564757006098237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CD0F-2E24-4515-8D9E-90573192B374}">
  <dimension ref="B1:E66"/>
  <sheetViews>
    <sheetView topLeftCell="A31" workbookViewId="0">
      <selection activeCell="E59" sqref="E59"/>
    </sheetView>
  </sheetViews>
  <sheetFormatPr defaultRowHeight="14.45"/>
  <sheetData>
    <row r="1" spans="2:5">
      <c r="B1" s="4"/>
      <c r="C1" s="4"/>
      <c r="D1" s="4"/>
      <c r="E1" s="4"/>
    </row>
    <row r="2" spans="2:5">
      <c r="B2" s="4" t="s">
        <v>4</v>
      </c>
      <c r="C2" s="4" t="s">
        <v>1</v>
      </c>
      <c r="D2" s="4" t="s">
        <v>2</v>
      </c>
      <c r="E2" s="4" t="s">
        <v>3</v>
      </c>
    </row>
    <row r="3" spans="2:5">
      <c r="B3" t="s">
        <v>7</v>
      </c>
      <c r="C3" t="s">
        <v>8</v>
      </c>
    </row>
    <row r="4" spans="2:5">
      <c r="B4" t="s">
        <v>9</v>
      </c>
      <c r="C4" t="s">
        <v>8</v>
      </c>
    </row>
    <row r="5" spans="2:5">
      <c r="B5" t="s">
        <v>10</v>
      </c>
      <c r="C5" t="s">
        <v>8</v>
      </c>
    </row>
    <row r="6" spans="2:5">
      <c r="B6" t="s">
        <v>11</v>
      </c>
      <c r="C6" t="s">
        <v>12</v>
      </c>
      <c r="D6">
        <v>1.810519</v>
      </c>
      <c r="E6">
        <f>(D6/SUM(D6:D9)*100)</f>
        <v>35.24416131748125</v>
      </c>
    </row>
    <row r="7" spans="2:5">
      <c r="B7" t="s">
        <v>13</v>
      </c>
      <c r="C7" t="s">
        <v>12</v>
      </c>
      <c r="D7">
        <v>0.92481199999999997</v>
      </c>
      <c r="E7">
        <f>(D7/SUM(D6:D9)*100)</f>
        <v>18.002696086780901</v>
      </c>
    </row>
    <row r="8" spans="2:5">
      <c r="B8" t="s">
        <v>14</v>
      </c>
      <c r="C8" t="s">
        <v>12</v>
      </c>
      <c r="D8">
        <v>0.691828</v>
      </c>
      <c r="E8">
        <f>(D8/SUM(D6:D9)*100)</f>
        <v>13.467352530379642</v>
      </c>
    </row>
    <row r="9" spans="2:5">
      <c r="B9" t="s">
        <v>15</v>
      </c>
      <c r="C9" t="s">
        <v>12</v>
      </c>
      <c r="D9">
        <v>1.709916</v>
      </c>
      <c r="E9" s="1">
        <f>(D9/SUM(D6:D9)*100)</f>
        <v>33.285790065358199</v>
      </c>
    </row>
    <row r="10" spans="2:5">
      <c r="B10" t="s">
        <v>16</v>
      </c>
      <c r="C10" t="s">
        <v>17</v>
      </c>
      <c r="D10">
        <v>0.225245</v>
      </c>
      <c r="E10">
        <f>(D10/SUM(D10:D11)*100)</f>
        <v>23.409277034807584</v>
      </c>
    </row>
    <row r="11" spans="2:5">
      <c r="B11" t="s">
        <v>18</v>
      </c>
      <c r="C11" t="s">
        <v>17</v>
      </c>
      <c r="D11">
        <v>0.73695900000000003</v>
      </c>
      <c r="E11" s="1">
        <f>(D11/SUM(D10:D11)*100)</f>
        <v>76.590722965192413</v>
      </c>
    </row>
    <row r="12" spans="2:5">
      <c r="B12" t="s">
        <v>19</v>
      </c>
      <c r="C12" t="s">
        <v>20</v>
      </c>
      <c r="D12">
        <v>0.64505299999999999</v>
      </c>
      <c r="E12">
        <f>(D12/SUM(D12:D13)*100)</f>
        <v>12.396512042654335</v>
      </c>
    </row>
    <row r="13" spans="2:5">
      <c r="B13" t="s">
        <v>21</v>
      </c>
      <c r="C13" t="s">
        <v>20</v>
      </c>
      <c r="D13">
        <v>4.5584509999999998</v>
      </c>
      <c r="E13" s="1">
        <f>(D13/SUM(D12:D13)*100)</f>
        <v>87.603487957345678</v>
      </c>
    </row>
    <row r="14" spans="2:5">
      <c r="B14" t="s">
        <v>22</v>
      </c>
      <c r="C14" t="s">
        <v>23</v>
      </c>
      <c r="D14">
        <v>5.6292030000000004</v>
      </c>
      <c r="E14">
        <f>(D14/SUM(D14:D15)*100)</f>
        <v>84.865162878249947</v>
      </c>
    </row>
    <row r="15" spans="2:5">
      <c r="B15" t="s">
        <v>24</v>
      </c>
      <c r="C15" t="s">
        <v>23</v>
      </c>
      <c r="D15">
        <v>1.003911</v>
      </c>
      <c r="E15" s="1">
        <f>(D15/SUM(D14:D15)*100)</f>
        <v>15.134837121750053</v>
      </c>
    </row>
    <row r="16" spans="2:5">
      <c r="B16" t="s">
        <v>25</v>
      </c>
      <c r="C16" t="s">
        <v>26</v>
      </c>
      <c r="D16">
        <v>1.2620279999999999</v>
      </c>
      <c r="E16">
        <f>(D16/SUM(D16:D17)*100)</f>
        <v>23.434853018265965</v>
      </c>
    </row>
    <row r="17" spans="2:5">
      <c r="B17" t="s">
        <v>27</v>
      </c>
      <c r="C17" t="s">
        <v>26</v>
      </c>
      <c r="D17">
        <v>4.1232329999999999</v>
      </c>
      <c r="E17" s="1">
        <f>(D17/SUM(D16:D17)*100)</f>
        <v>76.565146981734031</v>
      </c>
    </row>
    <row r="18" spans="2:5">
      <c r="B18" t="s">
        <v>28</v>
      </c>
      <c r="C18" t="s">
        <v>29</v>
      </c>
      <c r="D18">
        <v>2.4609830000000001</v>
      </c>
      <c r="E18">
        <f>(D18/SUM(D18:D21)*100)</f>
        <v>43.733572030365991</v>
      </c>
    </row>
    <row r="19" spans="2:5">
      <c r="B19" t="s">
        <v>30</v>
      </c>
      <c r="C19" t="s">
        <v>29</v>
      </c>
      <c r="D19">
        <v>0.54828500000000002</v>
      </c>
      <c r="E19">
        <f>(D19/SUM(D18:D21)*100)</f>
        <v>9.7434486709860302</v>
      </c>
    </row>
    <row r="20" spans="2:5">
      <c r="B20" t="s">
        <v>31</v>
      </c>
      <c r="C20" t="s">
        <v>29</v>
      </c>
      <c r="D20">
        <v>1.11513</v>
      </c>
      <c r="E20">
        <f>(D20/SUM(D18:D21)*100)</f>
        <v>19.816722902280116</v>
      </c>
    </row>
    <row r="21" spans="2:5">
      <c r="B21" t="s">
        <v>32</v>
      </c>
      <c r="C21" t="s">
        <v>29</v>
      </c>
      <c r="D21">
        <v>1.5028189999999999</v>
      </c>
      <c r="E21" s="1">
        <f>(D21/SUM(D18:D21)*100)</f>
        <v>26.706256396367866</v>
      </c>
    </row>
    <row r="22" spans="2:5">
      <c r="B22" t="s">
        <v>33</v>
      </c>
      <c r="C22" t="s">
        <v>34</v>
      </c>
      <c r="D22">
        <v>0.43247799999999997</v>
      </c>
      <c r="E22">
        <f>(D22/SUM(D22:D23)*100)</f>
        <v>19.210281776977048</v>
      </c>
    </row>
    <row r="23" spans="2:5">
      <c r="B23" t="s">
        <v>35</v>
      </c>
      <c r="C23" t="s">
        <v>34</v>
      </c>
      <c r="D23">
        <v>1.8188059999999999</v>
      </c>
      <c r="E23" s="1">
        <f>(D23/SUM(D22:D23)*100)</f>
        <v>80.789718223022945</v>
      </c>
    </row>
    <row r="24" spans="2:5">
      <c r="B24" t="s">
        <v>36</v>
      </c>
      <c r="C24" t="s">
        <v>37</v>
      </c>
      <c r="D24">
        <v>2.0722659999999999</v>
      </c>
      <c r="E24">
        <f>(D24/SUM(D24:D26)*100)</f>
        <v>21.805774631732799</v>
      </c>
    </row>
    <row r="25" spans="2:5">
      <c r="B25" t="s">
        <v>38</v>
      </c>
      <c r="C25" t="s">
        <v>37</v>
      </c>
      <c r="D25">
        <v>2.1277379999999999</v>
      </c>
      <c r="E25">
        <f>(D25/SUM(D24:D26)*100)</f>
        <v>22.389488271956342</v>
      </c>
    </row>
    <row r="26" spans="2:5">
      <c r="B26" t="s">
        <v>39</v>
      </c>
      <c r="C26" t="s">
        <v>37</v>
      </c>
      <c r="D26">
        <v>5.3032859999999999</v>
      </c>
      <c r="E26" s="1">
        <f>(D26/SUM(D24:D26)*100)</f>
        <v>55.804737096310852</v>
      </c>
    </row>
    <row r="27" spans="2:5">
      <c r="B27" t="s">
        <v>40</v>
      </c>
      <c r="C27" t="s">
        <v>41</v>
      </c>
      <c r="D27">
        <v>6.0371639999999998</v>
      </c>
      <c r="E27">
        <f>(D27/SUM(D27:D28)*100)</f>
        <v>82.207899587351235</v>
      </c>
    </row>
    <row r="28" spans="2:5">
      <c r="B28" t="s">
        <v>42</v>
      </c>
      <c r="C28" t="s">
        <v>41</v>
      </c>
      <c r="D28">
        <v>1.3066120000000001</v>
      </c>
      <c r="E28" s="1">
        <f>(D28/SUM($D$27:$D$28)*100)</f>
        <v>17.792100412648754</v>
      </c>
    </row>
    <row r="29" spans="2:5">
      <c r="B29" t="s">
        <v>43</v>
      </c>
      <c r="C29" t="s">
        <v>44</v>
      </c>
      <c r="D29">
        <v>0.92275700000000005</v>
      </c>
      <c r="E29">
        <f>(D29/SUM(D29:D34)*100)</f>
        <v>9.2878640269034491</v>
      </c>
    </row>
    <row r="30" spans="2:5">
      <c r="B30" t="s">
        <v>45</v>
      </c>
      <c r="C30" t="s">
        <v>44</v>
      </c>
      <c r="D30">
        <v>0.80763499999999999</v>
      </c>
      <c r="E30">
        <f>(D30/SUM(D29:D34)*100)</f>
        <v>8.1291218201196696</v>
      </c>
    </row>
    <row r="31" spans="2:5">
      <c r="B31" t="s">
        <v>46</v>
      </c>
      <c r="C31" t="s">
        <v>44</v>
      </c>
      <c r="D31">
        <v>0.42569800000000002</v>
      </c>
      <c r="E31">
        <f>(D31/SUM(D29:D34)*100)</f>
        <v>4.2847956076461564</v>
      </c>
    </row>
    <row r="32" spans="2:5">
      <c r="B32" t="s">
        <v>47</v>
      </c>
      <c r="C32" t="s">
        <v>44</v>
      </c>
      <c r="D32">
        <v>1.52494</v>
      </c>
      <c r="E32">
        <f>(D32/SUM(D29:D34)*100)</f>
        <v>15.349041371873792</v>
      </c>
    </row>
    <row r="33" spans="2:5">
      <c r="B33" t="s">
        <v>48</v>
      </c>
      <c r="C33" t="s">
        <v>44</v>
      </c>
      <c r="D33">
        <v>4.743906</v>
      </c>
      <c r="E33">
        <f>(D33/SUM(D29:D34)*100)</f>
        <v>47.749032393589466</v>
      </c>
    </row>
    <row r="34" spans="2:5">
      <c r="B34" s="3" t="s">
        <v>49</v>
      </c>
      <c r="C34" t="s">
        <v>44</v>
      </c>
      <c r="D34">
        <v>1.5101469999999999</v>
      </c>
      <c r="E34" s="1">
        <f>(D34/SUM(D29:D34)*100)</f>
        <v>15.200144779867465</v>
      </c>
    </row>
    <row r="35" spans="2:5">
      <c r="B35" s="3" t="s">
        <v>50</v>
      </c>
      <c r="C35" t="s">
        <v>51</v>
      </c>
      <c r="D35">
        <v>2.2650489999999999</v>
      </c>
      <c r="E35" s="2">
        <f>(D35/SUM(D35:D35)*100)</f>
        <v>100</v>
      </c>
    </row>
    <row r="36" spans="2:5">
      <c r="B36" t="s">
        <v>52</v>
      </c>
      <c r="C36" t="s">
        <v>53</v>
      </c>
      <c r="D36">
        <v>0.96877899999999995</v>
      </c>
      <c r="E36">
        <f>(D36/SUM(D36:D37)*100)</f>
        <v>17.347268032560855</v>
      </c>
    </row>
    <row r="37" spans="2:5">
      <c r="B37" t="s">
        <v>54</v>
      </c>
      <c r="C37" t="s">
        <v>53</v>
      </c>
      <c r="D37">
        <v>4.6158409999999996</v>
      </c>
      <c r="E37" s="1">
        <f>(D37/SUM(D36:D37)*100)</f>
        <v>82.652731967439152</v>
      </c>
    </row>
    <row r="38" spans="2:5">
      <c r="B38" t="s">
        <v>55</v>
      </c>
      <c r="C38" t="s">
        <v>56</v>
      </c>
      <c r="D38">
        <v>1.187381</v>
      </c>
      <c r="E38">
        <f>(D38/SUM(D38:D41)*100)</f>
        <v>29.177263682252203</v>
      </c>
    </row>
    <row r="39" spans="2:5">
      <c r="B39" t="s">
        <v>57</v>
      </c>
      <c r="C39" t="s">
        <v>56</v>
      </c>
      <c r="D39">
        <v>0.89502099999999996</v>
      </c>
      <c r="E39">
        <f>(D39/SUM(D38:D41)*100)</f>
        <v>21.993162866976181</v>
      </c>
    </row>
    <row r="40" spans="2:5">
      <c r="B40" t="s">
        <v>58</v>
      </c>
      <c r="C40" t="s">
        <v>56</v>
      </c>
      <c r="D40">
        <v>0.58300700000000005</v>
      </c>
      <c r="E40">
        <f>(D40/SUM(D38:D41)*100)</f>
        <v>14.326108441687049</v>
      </c>
    </row>
    <row r="41" spans="2:5">
      <c r="B41" t="s">
        <v>59</v>
      </c>
      <c r="C41" t="s">
        <v>56</v>
      </c>
      <c r="D41">
        <v>1.4041330000000001</v>
      </c>
      <c r="E41" s="1">
        <f>(D41/SUM(D38:D41)*100)</f>
        <v>34.503465009084557</v>
      </c>
    </row>
    <row r="42" spans="2:5">
      <c r="B42" t="s">
        <v>60</v>
      </c>
      <c r="C42" t="s">
        <v>61</v>
      </c>
      <c r="D42">
        <v>3.7277369999999999</v>
      </c>
      <c r="E42">
        <f>(D42/SUM(D42:D43)*100)</f>
        <v>86.800947519676541</v>
      </c>
    </row>
    <row r="43" spans="2:5">
      <c r="B43" t="s">
        <v>62</v>
      </c>
      <c r="C43" t="s">
        <v>61</v>
      </c>
      <c r="D43">
        <v>0.56684400000000001</v>
      </c>
      <c r="E43" s="1">
        <f>(D43/SUM(D42:D43)*100)</f>
        <v>13.199052480323459</v>
      </c>
    </row>
    <row r="44" spans="2:5">
      <c r="B44" t="s">
        <v>63</v>
      </c>
      <c r="C44" t="s">
        <v>64</v>
      </c>
      <c r="D44">
        <v>0.72360500000000005</v>
      </c>
      <c r="E44">
        <f>(D44/SUM(D44:D49)*100)</f>
        <v>18.77531607880908</v>
      </c>
    </row>
    <row r="45" spans="2:5">
      <c r="B45" t="s">
        <v>65</v>
      </c>
      <c r="C45" t="s">
        <v>64</v>
      </c>
      <c r="D45">
        <v>0.204426</v>
      </c>
      <c r="E45">
        <f>(D45/SUM(D44:D49)*100)</f>
        <v>5.3042236644669742</v>
      </c>
    </row>
    <row r="46" spans="2:5">
      <c r="B46" t="s">
        <v>66</v>
      </c>
      <c r="C46" t="s">
        <v>64</v>
      </c>
      <c r="D46">
        <v>1.214021</v>
      </c>
      <c r="E46">
        <f>(D46/SUM(D44:D49)*100)</f>
        <v>31.500097430658826</v>
      </c>
    </row>
    <row r="47" spans="2:5">
      <c r="B47" t="s">
        <v>67</v>
      </c>
      <c r="C47" t="s">
        <v>64</v>
      </c>
      <c r="D47">
        <v>0.41193299999999999</v>
      </c>
      <c r="E47">
        <f>(D47/SUM(D44:D49)*100)</f>
        <v>10.688389768301851</v>
      </c>
    </row>
    <row r="48" spans="2:5">
      <c r="B48" t="s">
        <v>68</v>
      </c>
      <c r="C48" t="s">
        <v>64</v>
      </c>
      <c r="D48">
        <v>0.60136100000000003</v>
      </c>
      <c r="E48">
        <f>(D48/SUM(D44:D49)*100)</f>
        <v>15.603461629575124</v>
      </c>
    </row>
    <row r="49" spans="2:5">
      <c r="B49" t="s">
        <v>69</v>
      </c>
      <c r="C49" t="s">
        <v>64</v>
      </c>
      <c r="D49">
        <v>0.69867699999999999</v>
      </c>
      <c r="E49" s="1">
        <f>(D49/SUM(D44:D49)*100)</f>
        <v>18.128511428188158</v>
      </c>
    </row>
    <row r="50" spans="2:5">
      <c r="B50" t="s">
        <v>70</v>
      </c>
      <c r="C50" t="s">
        <v>71</v>
      </c>
      <c r="D50">
        <v>0.41549399999999997</v>
      </c>
      <c r="E50" s="6">
        <f>(D50/SUM($D$50:$D$55)*100)</f>
        <v>6.5436351008490306</v>
      </c>
    </row>
    <row r="51" spans="2:5">
      <c r="B51" t="s">
        <v>72</v>
      </c>
      <c r="C51" t="s">
        <v>71</v>
      </c>
      <c r="D51">
        <v>1.470221</v>
      </c>
      <c r="E51">
        <f t="shared" ref="E51:E55" si="0">(D51/SUM($D$50:$D$55)*100)</f>
        <v>23.154581634404742</v>
      </c>
    </row>
    <row r="52" spans="2:5">
      <c r="B52" t="s">
        <v>73</v>
      </c>
      <c r="C52" t="s">
        <v>71</v>
      </c>
      <c r="D52">
        <v>0.84749300000000005</v>
      </c>
      <c r="E52">
        <f t="shared" si="0"/>
        <v>13.3472082449418</v>
      </c>
    </row>
    <row r="53" spans="2:5">
      <c r="B53" t="s">
        <v>74</v>
      </c>
      <c r="C53" t="s">
        <v>71</v>
      </c>
      <c r="D53">
        <v>0.64053400000000005</v>
      </c>
      <c r="E53">
        <f t="shared" si="0"/>
        <v>10.08780094462792</v>
      </c>
    </row>
    <row r="54" spans="2:5">
      <c r="B54" t="s">
        <v>75</v>
      </c>
      <c r="C54" t="s">
        <v>71</v>
      </c>
      <c r="D54">
        <v>1.689713</v>
      </c>
      <c r="E54">
        <f t="shared" si="0"/>
        <v>26.61137175786153</v>
      </c>
    </row>
    <row r="55" spans="2:5">
      <c r="B55" t="s">
        <v>76</v>
      </c>
      <c r="C55" t="s">
        <v>71</v>
      </c>
      <c r="D55">
        <v>1.286135</v>
      </c>
      <c r="E55" s="1">
        <f t="shared" si="0"/>
        <v>20.255402317314978</v>
      </c>
    </row>
    <row r="56" spans="2:5">
      <c r="B56" t="s">
        <v>77</v>
      </c>
      <c r="C56" t="s">
        <v>78</v>
      </c>
      <c r="D56">
        <v>1.467481</v>
      </c>
      <c r="E56">
        <f>(D56/SUM($D$56:$D$59)*100)</f>
        <v>28.314323741004422</v>
      </c>
    </row>
    <row r="57" spans="2:5">
      <c r="B57" t="s">
        <v>79</v>
      </c>
      <c r="C57" t="s">
        <v>78</v>
      </c>
      <c r="D57">
        <v>1.2581929999999999</v>
      </c>
      <c r="E57">
        <f t="shared" ref="E57:E59" si="1">(D57/SUM($D$56:$D$59)*100)</f>
        <v>24.276214772569844</v>
      </c>
    </row>
    <row r="58" spans="2:5">
      <c r="B58" t="s">
        <v>80</v>
      </c>
      <c r="C58" t="s">
        <v>78</v>
      </c>
      <c r="D58">
        <v>0.58334900000000001</v>
      </c>
      <c r="E58">
        <f t="shared" si="1"/>
        <v>11.255431886335284</v>
      </c>
    </row>
    <row r="59" spans="2:5">
      <c r="B59" t="s">
        <v>81</v>
      </c>
      <c r="C59" t="s">
        <v>78</v>
      </c>
      <c r="D59">
        <v>1.873799</v>
      </c>
      <c r="E59">
        <f t="shared" si="1"/>
        <v>36.154029600090453</v>
      </c>
    </row>
    <row r="60" spans="2:5">
      <c r="B60" t="s">
        <v>82</v>
      </c>
      <c r="C60" t="s">
        <v>83</v>
      </c>
      <c r="D60">
        <v>1.5613729999999999</v>
      </c>
      <c r="E60">
        <f>(D60/SUM(D60:D63)*100)</f>
        <v>31.288510140987093</v>
      </c>
    </row>
    <row r="61" spans="2:5">
      <c r="B61" t="s">
        <v>84</v>
      </c>
      <c r="C61" t="s">
        <v>83</v>
      </c>
      <c r="D61">
        <v>0.72634399999999999</v>
      </c>
      <c r="E61">
        <f>(D61/SUM(D60:D63)*100)</f>
        <v>14.555280262848871</v>
      </c>
    </row>
    <row r="62" spans="2:5">
      <c r="B62" s="3" t="s">
        <v>85</v>
      </c>
      <c r="C62" t="s">
        <v>83</v>
      </c>
      <c r="D62">
        <v>1.0187040000000001</v>
      </c>
      <c r="E62">
        <f>(D62/SUM(D60:D63)*100)</f>
        <v>20.413911624361454</v>
      </c>
    </row>
    <row r="63" spans="2:5">
      <c r="B63" t="s">
        <v>86</v>
      </c>
      <c r="C63" t="s">
        <v>83</v>
      </c>
      <c r="D63">
        <v>1.6838230000000001</v>
      </c>
      <c r="E63" s="1">
        <f>(D63/SUM(D60:D63)*100)</f>
        <v>33.742297971802586</v>
      </c>
    </row>
    <row r="64" spans="2:5">
      <c r="B64" t="s">
        <v>87</v>
      </c>
      <c r="C64" t="s">
        <v>88</v>
      </c>
      <c r="D64">
        <v>1.2360040000000001</v>
      </c>
      <c r="E64" s="2">
        <f>(D64/SUM(D64)*100)</f>
        <v>100</v>
      </c>
    </row>
    <row r="65" spans="2:5">
      <c r="B65" t="s">
        <v>89</v>
      </c>
      <c r="C65" t="s">
        <v>90</v>
      </c>
      <c r="D65">
        <v>0.60101800000000005</v>
      </c>
      <c r="E65">
        <f>(D65/SUM(D65:D66)*100)</f>
        <v>14.338225997073279</v>
      </c>
    </row>
    <row r="66" spans="2:5">
      <c r="B66" t="s">
        <v>91</v>
      </c>
      <c r="C66" t="s">
        <v>90</v>
      </c>
      <c r="D66">
        <v>3.5907</v>
      </c>
      <c r="E66" s="1">
        <f>(D66/SUM(D65:D66)*100)</f>
        <v>85.661774002926734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CA80-0FB9-43C8-AC92-BCB10383649B}">
  <dimension ref="B2:G66"/>
  <sheetViews>
    <sheetView workbookViewId="0">
      <selection activeCell="E3" sqref="E3:E66"/>
    </sheetView>
  </sheetViews>
  <sheetFormatPr defaultRowHeight="14.45"/>
  <cols>
    <col min="2" max="2" width="14.5703125" customWidth="1"/>
    <col min="3" max="3" width="13.28515625" customWidth="1"/>
    <col min="4" max="4" width="12.42578125" customWidth="1"/>
    <col min="5" max="5" width="15.5703125" customWidth="1"/>
  </cols>
  <sheetData>
    <row r="2" spans="2:5">
      <c r="B2" s="4" t="s">
        <v>0</v>
      </c>
      <c r="C2" s="4" t="s">
        <v>1</v>
      </c>
      <c r="D2" s="4" t="s">
        <v>2</v>
      </c>
      <c r="E2" s="5" t="s">
        <v>3</v>
      </c>
    </row>
    <row r="3" spans="2:5">
      <c r="B3" t="s">
        <v>7</v>
      </c>
      <c r="C3" t="s">
        <v>8</v>
      </c>
      <c r="D3">
        <v>50.9</v>
      </c>
      <c r="E3">
        <f>(D3/SUM($D$3:$D$5)*100)</f>
        <v>51.885830784913345</v>
      </c>
    </row>
    <row r="4" spans="2:5">
      <c r="B4" t="s">
        <v>9</v>
      </c>
      <c r="C4" t="s">
        <v>8</v>
      </c>
      <c r="D4">
        <v>25.5</v>
      </c>
      <c r="E4">
        <f t="shared" ref="E4:E5" si="0">(D4/SUM($D$3:$D$5)*100)</f>
        <v>25.993883792048926</v>
      </c>
    </row>
    <row r="5" spans="2:5">
      <c r="B5" t="s">
        <v>10</v>
      </c>
      <c r="C5" t="s">
        <v>8</v>
      </c>
      <c r="D5">
        <v>21.7</v>
      </c>
      <c r="E5" s="1">
        <f t="shared" si="0"/>
        <v>22.120285423037714</v>
      </c>
    </row>
    <row r="6" spans="2:5">
      <c r="B6" t="s">
        <v>11</v>
      </c>
      <c r="C6" t="s">
        <v>12</v>
      </c>
      <c r="D6">
        <v>2.5275650000000001</v>
      </c>
      <c r="E6">
        <f>(D6/SUM(D6:D9)*100)</f>
        <v>43.075701532177362</v>
      </c>
    </row>
    <row r="7" spans="2:5">
      <c r="B7" t="s">
        <v>13</v>
      </c>
      <c r="C7" t="s">
        <v>12</v>
      </c>
      <c r="D7">
        <v>1.045623</v>
      </c>
      <c r="E7">
        <f>(D7/SUM(D6:D9)*100)</f>
        <v>17.819895537080111</v>
      </c>
    </row>
    <row r="8" spans="2:5">
      <c r="B8" t="s">
        <v>14</v>
      </c>
      <c r="C8" t="s">
        <v>12</v>
      </c>
      <c r="D8">
        <v>0.99729000000000001</v>
      </c>
      <c r="E8">
        <f>(D8/SUM(D6:D9)*100)</f>
        <v>16.996186598969825</v>
      </c>
    </row>
    <row r="9" spans="2:5">
      <c r="B9" t="s">
        <v>15</v>
      </c>
      <c r="C9" t="s">
        <v>12</v>
      </c>
      <c r="D9">
        <v>1.29725</v>
      </c>
      <c r="E9" s="1">
        <f>(D9/SUM(D6:D9)*100)</f>
        <v>22.108216331772709</v>
      </c>
    </row>
    <row r="10" spans="2:5">
      <c r="B10" t="s">
        <v>16</v>
      </c>
      <c r="C10" t="s">
        <v>17</v>
      </c>
      <c r="D10">
        <v>0.38084499999999999</v>
      </c>
      <c r="E10">
        <f>(D10/SUM(D10:D11)*100)</f>
        <v>37.704476580544693</v>
      </c>
    </row>
    <row r="11" spans="2:5">
      <c r="B11" t="s">
        <v>18</v>
      </c>
      <c r="C11" t="s">
        <v>17</v>
      </c>
      <c r="D11">
        <v>0.62923399999999996</v>
      </c>
      <c r="E11" s="1">
        <f>(D11/SUM(D10:D11)*100)</f>
        <v>62.295523419455314</v>
      </c>
    </row>
    <row r="12" spans="2:5">
      <c r="B12" t="s">
        <v>19</v>
      </c>
      <c r="C12" t="s">
        <v>20</v>
      </c>
      <c r="D12">
        <v>1.344004</v>
      </c>
      <c r="E12">
        <f>(D12/SUM(D12:D13)*100)</f>
        <v>23.048877193752677</v>
      </c>
    </row>
    <row r="13" spans="2:5">
      <c r="B13" t="s">
        <v>21</v>
      </c>
      <c r="C13" t="s">
        <v>20</v>
      </c>
      <c r="D13">
        <v>4.4870999999999999</v>
      </c>
      <c r="E13" s="1">
        <f>(D13/SUM(D12:D13)*100)</f>
        <v>76.951122806247326</v>
      </c>
    </row>
    <row r="14" spans="2:5">
      <c r="B14" t="s">
        <v>22</v>
      </c>
      <c r="C14" t="s">
        <v>23</v>
      </c>
      <c r="D14">
        <v>5.0846939999999998</v>
      </c>
      <c r="E14">
        <f>(D14/SUM(D14:D15)*100)</f>
        <v>74.366290868820201</v>
      </c>
    </row>
    <row r="15" spans="2:5">
      <c r="B15" t="s">
        <v>24</v>
      </c>
      <c r="C15" t="s">
        <v>23</v>
      </c>
      <c r="D15">
        <v>1.75267</v>
      </c>
      <c r="E15" s="1">
        <f>(D15/SUM(D14:D15)*100)</f>
        <v>25.633709131179792</v>
      </c>
    </row>
    <row r="16" spans="2:5">
      <c r="B16" t="s">
        <v>25</v>
      </c>
      <c r="C16" t="s">
        <v>26</v>
      </c>
      <c r="D16">
        <v>1.804988</v>
      </c>
      <c r="E16">
        <f>(D16/SUM(D16:D17)*100)</f>
        <v>37.193264285965974</v>
      </c>
    </row>
    <row r="17" spans="2:5">
      <c r="B17" t="s">
        <v>27</v>
      </c>
      <c r="C17" t="s">
        <v>26</v>
      </c>
      <c r="D17">
        <v>3.048009</v>
      </c>
      <c r="E17" s="1">
        <f>(D17/SUM(D16:D17)*100)</f>
        <v>62.806735714034026</v>
      </c>
    </row>
    <row r="18" spans="2:5">
      <c r="B18" t="s">
        <v>28</v>
      </c>
      <c r="C18" t="s">
        <v>29</v>
      </c>
      <c r="D18">
        <v>2.6122709999999998</v>
      </c>
      <c r="E18">
        <f>(D18/SUM(D18:D21)*100)</f>
        <v>41.748181976980462</v>
      </c>
    </row>
    <row r="19" spans="2:5">
      <c r="B19" t="s">
        <v>30</v>
      </c>
      <c r="C19" t="s">
        <v>29</v>
      </c>
      <c r="D19">
        <v>0.76094300000000004</v>
      </c>
      <c r="E19">
        <f>(D19/SUM(D18:D21)*100)</f>
        <v>12.161060945862603</v>
      </c>
    </row>
    <row r="20" spans="2:5">
      <c r="B20" t="s">
        <v>31</v>
      </c>
      <c r="C20" t="s">
        <v>29</v>
      </c>
      <c r="D20">
        <v>0.81160100000000002</v>
      </c>
      <c r="E20">
        <f>(D20/SUM(D18:D21)*100)</f>
        <v>12.97065512754968</v>
      </c>
    </row>
    <row r="21" spans="2:5">
      <c r="B21" t="s">
        <v>32</v>
      </c>
      <c r="C21" t="s">
        <v>29</v>
      </c>
      <c r="D21">
        <v>2.0723940000000001</v>
      </c>
      <c r="E21" s="1">
        <f>(D21/SUM(D18:D21)*100)</f>
        <v>33.120101949607246</v>
      </c>
    </row>
    <row r="22" spans="2:5">
      <c r="B22" t="s">
        <v>33</v>
      </c>
      <c r="C22" t="s">
        <v>34</v>
      </c>
      <c r="D22">
        <v>0.65348300000000004</v>
      </c>
      <c r="E22">
        <f>(D22/SUM(D22:D23)*100)</f>
        <v>30.861252040744525</v>
      </c>
    </row>
    <row r="23" spans="2:5">
      <c r="B23" t="s">
        <v>35</v>
      </c>
      <c r="C23" t="s">
        <v>34</v>
      </c>
      <c r="D23">
        <v>1.4640040000000001</v>
      </c>
      <c r="E23" s="1">
        <f>(D23/SUM(D22:D23)*100)</f>
        <v>69.138747959255483</v>
      </c>
    </row>
    <row r="24" spans="2:5">
      <c r="B24" t="s">
        <v>36</v>
      </c>
      <c r="C24" t="s">
        <v>37</v>
      </c>
      <c r="D24">
        <v>1.6753549999999999</v>
      </c>
      <c r="E24">
        <f>(D24/SUM(D24:D26)*100)</f>
        <v>19.65779222303053</v>
      </c>
    </row>
    <row r="25" spans="2:5">
      <c r="B25" t="s">
        <v>38</v>
      </c>
      <c r="C25" t="s">
        <v>37</v>
      </c>
      <c r="D25">
        <v>2.5380280000000002</v>
      </c>
      <c r="E25">
        <f>(D25/SUM(D24:D26)*100)</f>
        <v>29.779973247600498</v>
      </c>
    </row>
    <row r="26" spans="2:5">
      <c r="B26" t="s">
        <v>39</v>
      </c>
      <c r="C26" t="s">
        <v>37</v>
      </c>
      <c r="D26">
        <v>4.3092170000000003</v>
      </c>
      <c r="E26" s="1">
        <f>(D26/SUM(D24:D26)*100)</f>
        <v>50.562234529368979</v>
      </c>
    </row>
    <row r="27" spans="2:5">
      <c r="B27" t="s">
        <v>40</v>
      </c>
      <c r="C27" t="s">
        <v>41</v>
      </c>
      <c r="D27">
        <v>4.628692</v>
      </c>
      <c r="E27">
        <f>(D27/SUM(D27:D28)*100)</f>
        <v>71.300462798368159</v>
      </c>
    </row>
    <row r="28" spans="2:5">
      <c r="B28" t="s">
        <v>42</v>
      </c>
      <c r="C28" t="s">
        <v>41</v>
      </c>
      <c r="D28">
        <v>1.8631200000000001</v>
      </c>
      <c r="E28" s="1">
        <f>(D28/SUM($D$27:$D$28)*100)</f>
        <v>28.699537201631841</v>
      </c>
    </row>
    <row r="29" spans="2:5">
      <c r="B29" t="s">
        <v>43</v>
      </c>
      <c r="C29" t="s">
        <v>44</v>
      </c>
      <c r="D29">
        <v>0.90070899999999998</v>
      </c>
      <c r="E29">
        <f>(D29/SUM(D29:D34)*100)</f>
        <v>9.7644892048021248</v>
      </c>
    </row>
    <row r="30" spans="2:5">
      <c r="B30" t="s">
        <v>45</v>
      </c>
      <c r="C30" t="s">
        <v>44</v>
      </c>
      <c r="D30">
        <v>1.4702329999999999</v>
      </c>
      <c r="E30">
        <f>(D30/SUM(D29:D34)*100)</f>
        <v>15.938637514495626</v>
      </c>
    </row>
    <row r="31" spans="2:5">
      <c r="B31" t="s">
        <v>46</v>
      </c>
      <c r="C31" t="s">
        <v>44</v>
      </c>
      <c r="D31">
        <v>1.084239</v>
      </c>
      <c r="E31">
        <f>(D31/SUM(D29:D34)*100)</f>
        <v>11.754118156835839</v>
      </c>
    </row>
    <row r="32" spans="2:5">
      <c r="B32" t="s">
        <v>47</v>
      </c>
      <c r="C32" t="s">
        <v>44</v>
      </c>
      <c r="D32">
        <v>2.12737</v>
      </c>
      <c r="E32">
        <f>(D32/SUM(D29:D34)*100)</f>
        <v>23.062588915643005</v>
      </c>
    </row>
    <row r="33" spans="2:5">
      <c r="B33" t="s">
        <v>48</v>
      </c>
      <c r="C33" t="s">
        <v>44</v>
      </c>
      <c r="D33">
        <v>1.975895</v>
      </c>
      <c r="E33">
        <f>(D33/SUM(D29:D34)*100)</f>
        <v>21.420464764227397</v>
      </c>
    </row>
    <row r="34" spans="2:5">
      <c r="B34" s="3" t="s">
        <v>49</v>
      </c>
      <c r="C34" t="s">
        <v>44</v>
      </c>
      <c r="D34">
        <v>1.6658869999999999</v>
      </c>
      <c r="E34" s="1">
        <f>(D34/SUM(D29:D34)*100)</f>
        <v>18.059701443996005</v>
      </c>
    </row>
    <row r="35" spans="2:5">
      <c r="B35" s="3" t="s">
        <v>50</v>
      </c>
      <c r="C35" t="s">
        <v>51</v>
      </c>
      <c r="D35">
        <v>2.5121180000000001</v>
      </c>
      <c r="E35" s="2">
        <f>(D35/SUM(D35:D35)*100)</f>
        <v>100</v>
      </c>
    </row>
    <row r="36" spans="2:5">
      <c r="B36" t="s">
        <v>52</v>
      </c>
      <c r="C36" t="s">
        <v>53</v>
      </c>
      <c r="D36">
        <v>1.4845170000000001</v>
      </c>
      <c r="E36">
        <f>(D36/SUM(D36:D37)*100)</f>
        <v>29.726945761010111</v>
      </c>
    </row>
    <row r="37" spans="2:5">
      <c r="B37" t="s">
        <v>54</v>
      </c>
      <c r="C37" t="s">
        <v>53</v>
      </c>
      <c r="D37">
        <v>3.5093260000000002</v>
      </c>
      <c r="E37" s="1">
        <f>(D37/SUM(D36:D37)*100)</f>
        <v>70.2730542389899</v>
      </c>
    </row>
    <row r="38" spans="2:5">
      <c r="B38" t="s">
        <v>55</v>
      </c>
      <c r="C38" t="s">
        <v>56</v>
      </c>
      <c r="D38">
        <v>1.0594079999999999</v>
      </c>
      <c r="E38">
        <f>(D38/SUM(D38:D41)*100)</f>
        <v>26.337302875701496</v>
      </c>
    </row>
    <row r="39" spans="2:5">
      <c r="B39" t="s">
        <v>57</v>
      </c>
      <c r="C39" t="s">
        <v>56</v>
      </c>
      <c r="D39">
        <v>1.0285979999999999</v>
      </c>
      <c r="E39">
        <f>(D39/SUM(D38:D41)*100)</f>
        <v>25.571354061268941</v>
      </c>
    </row>
    <row r="40" spans="2:5">
      <c r="B40" t="s">
        <v>58</v>
      </c>
      <c r="C40" t="s">
        <v>56</v>
      </c>
      <c r="D40">
        <v>1.0575810000000001</v>
      </c>
      <c r="E40">
        <f>(D40/SUM(D38:D41)*100)</f>
        <v>26.291882931398735</v>
      </c>
    </row>
    <row r="41" spans="2:5">
      <c r="B41" t="s">
        <v>59</v>
      </c>
      <c r="C41" t="s">
        <v>56</v>
      </c>
      <c r="D41">
        <v>0.87687499999999996</v>
      </c>
      <c r="E41" s="1">
        <f>(D41/SUM(D38:D41)*100)</f>
        <v>21.799460131630827</v>
      </c>
    </row>
    <row r="42" spans="2:5">
      <c r="B42" t="s">
        <v>60</v>
      </c>
      <c r="C42" t="s">
        <v>61</v>
      </c>
      <c r="D42">
        <v>2.431648</v>
      </c>
      <c r="E42">
        <f>(D42/SUM(D42:D43)*100)</f>
        <v>68.308211262485898</v>
      </c>
    </row>
    <row r="43" spans="2:5">
      <c r="B43" t="s">
        <v>62</v>
      </c>
      <c r="C43" t="s">
        <v>61</v>
      </c>
      <c r="D43">
        <v>1.1281699999999999</v>
      </c>
      <c r="E43" s="1">
        <f>(D43/SUM(D42:D43)*100)</f>
        <v>31.691788737514102</v>
      </c>
    </row>
    <row r="44" spans="2:5">
      <c r="B44" t="s">
        <v>63</v>
      </c>
      <c r="C44" t="s">
        <v>64</v>
      </c>
      <c r="D44">
        <v>0.79939300000000002</v>
      </c>
      <c r="E44">
        <f>(D44/SUM(D44:D49)*100)</f>
        <v>17.822946185111444</v>
      </c>
    </row>
    <row r="45" spans="2:5">
      <c r="B45" t="s">
        <v>65</v>
      </c>
      <c r="C45" t="s">
        <v>64</v>
      </c>
      <c r="D45">
        <v>0.301039</v>
      </c>
      <c r="E45">
        <f>(D45/SUM(D44:D49)*100)</f>
        <v>6.7118449831556735</v>
      </c>
    </row>
    <row r="46" spans="2:5">
      <c r="B46" t="s">
        <v>66</v>
      </c>
      <c r="C46" t="s">
        <v>64</v>
      </c>
      <c r="D46">
        <v>1.191533</v>
      </c>
      <c r="E46">
        <f>(D46/SUM(D44:D49)*100)</f>
        <v>26.565942579912999</v>
      </c>
    </row>
    <row r="47" spans="2:5">
      <c r="B47" t="s">
        <v>67</v>
      </c>
      <c r="C47" t="s">
        <v>64</v>
      </c>
      <c r="D47">
        <v>0.48091499999999998</v>
      </c>
      <c r="E47">
        <f>(D47/SUM(D44:D49)*100)</f>
        <v>10.722288241969681</v>
      </c>
    </row>
    <row r="48" spans="2:5">
      <c r="B48" t="s">
        <v>68</v>
      </c>
      <c r="C48" t="s">
        <v>64</v>
      </c>
      <c r="D48">
        <v>0.77780199999999999</v>
      </c>
      <c r="E48">
        <f>(D48/SUM(D44:D49)*100)</f>
        <v>17.341561895928599</v>
      </c>
    </row>
    <row r="49" spans="2:7">
      <c r="B49" t="s">
        <v>69</v>
      </c>
      <c r="C49" t="s">
        <v>64</v>
      </c>
      <c r="D49">
        <v>0.93450800000000001</v>
      </c>
      <c r="E49" s="1">
        <f>(D49/SUM(D44:D49)*100)</f>
        <v>20.835416113921596</v>
      </c>
    </row>
    <row r="50" spans="2:7">
      <c r="B50" t="s">
        <v>70</v>
      </c>
      <c r="C50" t="s">
        <v>71</v>
      </c>
      <c r="D50">
        <v>0.89306799999999997</v>
      </c>
      <c r="E50">
        <f>(D50/SUM($D$50:$D$55)*100)</f>
        <v>13.549193634032742</v>
      </c>
      <c r="G50">
        <f>SUM(E50:E55)</f>
        <v>100.00000000000003</v>
      </c>
    </row>
    <row r="51" spans="2:7">
      <c r="B51" t="s">
        <v>72</v>
      </c>
      <c r="C51" t="s">
        <v>71</v>
      </c>
      <c r="D51">
        <v>1.385195</v>
      </c>
      <c r="E51">
        <f t="shared" ref="E51:E55" si="1">(D51/SUM($D$50:$D$55)*100)</f>
        <v>21.015505287272621</v>
      </c>
    </row>
    <row r="52" spans="2:7">
      <c r="B52" t="s">
        <v>73</v>
      </c>
      <c r="C52" t="s">
        <v>71</v>
      </c>
      <c r="D52">
        <v>1.0850690000000001</v>
      </c>
      <c r="E52">
        <f t="shared" si="1"/>
        <v>16.462139486899403</v>
      </c>
    </row>
    <row r="53" spans="2:7">
      <c r="B53" t="s">
        <v>74</v>
      </c>
      <c r="C53" t="s">
        <v>71</v>
      </c>
      <c r="D53">
        <v>0.89306799999999997</v>
      </c>
      <c r="E53">
        <f t="shared" si="1"/>
        <v>13.549193634032742</v>
      </c>
    </row>
    <row r="54" spans="2:7">
      <c r="B54" t="s">
        <v>75</v>
      </c>
      <c r="C54" t="s">
        <v>71</v>
      </c>
      <c r="D54">
        <v>0.85495100000000002</v>
      </c>
      <c r="E54">
        <f t="shared" si="1"/>
        <v>12.970901036214407</v>
      </c>
    </row>
    <row r="55" spans="2:7">
      <c r="B55" t="s">
        <v>76</v>
      </c>
      <c r="C55" t="s">
        <v>71</v>
      </c>
      <c r="D55">
        <v>1.479949</v>
      </c>
      <c r="E55" s="1">
        <f t="shared" si="1"/>
        <v>22.453066921548107</v>
      </c>
    </row>
    <row r="56" spans="2:7">
      <c r="B56" t="s">
        <v>77</v>
      </c>
      <c r="C56" t="s">
        <v>78</v>
      </c>
      <c r="D56">
        <v>1.7106490000000001</v>
      </c>
      <c r="E56">
        <f>(D56/SUM($D$56:$D$59)*100)</f>
        <v>30.449820645618814</v>
      </c>
      <c r="G56">
        <f>SUM(E56:E59)</f>
        <v>100</v>
      </c>
    </row>
    <row r="57" spans="2:7">
      <c r="B57" t="s">
        <v>79</v>
      </c>
      <c r="C57" t="s">
        <v>78</v>
      </c>
      <c r="D57">
        <v>1.7142200000000001</v>
      </c>
      <c r="E57">
        <f t="shared" ref="E57:E59" si="2">(D57/SUM($D$56:$D$59)*100)</f>
        <v>30.513385006002213</v>
      </c>
    </row>
    <row r="58" spans="2:7">
      <c r="B58" t="s">
        <v>80</v>
      </c>
      <c r="C58" t="s">
        <v>78</v>
      </c>
      <c r="D58">
        <v>1.1889590000000001</v>
      </c>
      <c r="E58">
        <f t="shared" si="2"/>
        <v>21.163656778798163</v>
      </c>
    </row>
    <row r="59" spans="2:7">
      <c r="B59" t="s">
        <v>81</v>
      </c>
      <c r="C59" t="s">
        <v>78</v>
      </c>
      <c r="D59">
        <v>1.0041</v>
      </c>
      <c r="E59">
        <f t="shared" si="2"/>
        <v>17.873137569580813</v>
      </c>
    </row>
    <row r="60" spans="2:7">
      <c r="B60" t="s">
        <v>82</v>
      </c>
      <c r="C60" t="s">
        <v>83</v>
      </c>
      <c r="D60">
        <v>1.6468700000000001</v>
      </c>
      <c r="E60">
        <f>(D60/SUM(D60:D63)*100)</f>
        <v>26.949783370131065</v>
      </c>
    </row>
    <row r="61" spans="2:7">
      <c r="B61" t="s">
        <v>84</v>
      </c>
      <c r="C61" t="s">
        <v>83</v>
      </c>
      <c r="D61">
        <v>0.98549799999999999</v>
      </c>
      <c r="E61">
        <f>(D61/SUM(D60:D63)*100)</f>
        <v>16.126930244462176</v>
      </c>
    </row>
    <row r="62" spans="2:7">
      <c r="B62" s="3" t="s">
        <v>85</v>
      </c>
      <c r="C62" t="s">
        <v>83</v>
      </c>
      <c r="D62">
        <v>1.3085439999999999</v>
      </c>
      <c r="E62">
        <f>(D62/SUM(D60:D63)*100)</f>
        <v>21.413333979175516</v>
      </c>
    </row>
    <row r="63" spans="2:7">
      <c r="B63" t="s">
        <v>86</v>
      </c>
      <c r="C63" t="s">
        <v>83</v>
      </c>
      <c r="D63">
        <v>2.169972</v>
      </c>
      <c r="E63" s="1">
        <f>(D63/SUM(D60:D63)*100)</f>
        <v>35.509952406231235</v>
      </c>
    </row>
    <row r="64" spans="2:7">
      <c r="B64" t="s">
        <v>87</v>
      </c>
      <c r="C64" t="s">
        <v>88</v>
      </c>
      <c r="D64">
        <v>1.291104</v>
      </c>
      <c r="E64" s="2">
        <f>(D64/SUM(D64)*100)</f>
        <v>100</v>
      </c>
    </row>
    <row r="65" spans="2:5">
      <c r="B65" t="s">
        <v>89</v>
      </c>
      <c r="C65" t="s">
        <v>90</v>
      </c>
      <c r="D65">
        <v>1.198841</v>
      </c>
      <c r="E65">
        <f>(D65/SUM(D65:D66)*100)</f>
        <v>31.526536425605258</v>
      </c>
    </row>
    <row r="66" spans="2:5">
      <c r="B66" t="s">
        <v>91</v>
      </c>
      <c r="C66" t="s">
        <v>90</v>
      </c>
      <c r="D66">
        <v>2.6038000000000001</v>
      </c>
      <c r="E66" s="1">
        <f>(D66/SUM(D65:D66)*100)</f>
        <v>68.473463574394742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7B7A-EDBD-4C93-A1ED-D08D06154F31}">
  <dimension ref="B2:E66"/>
  <sheetViews>
    <sheetView topLeftCell="A29" workbookViewId="0">
      <selection activeCell="C3" sqref="C3:C66"/>
    </sheetView>
  </sheetViews>
  <sheetFormatPr defaultRowHeight="14.45"/>
  <cols>
    <col min="2" max="2" width="14.5703125" customWidth="1"/>
    <col min="3" max="3" width="13.28515625" customWidth="1"/>
    <col min="4" max="4" width="12.42578125" customWidth="1"/>
    <col min="5" max="5" width="10.28515625" customWidth="1"/>
  </cols>
  <sheetData>
    <row r="2" spans="2:5">
      <c r="B2" s="4" t="s">
        <v>0</v>
      </c>
      <c r="C2" s="4" t="s">
        <v>1</v>
      </c>
      <c r="D2" s="4" t="s">
        <v>2</v>
      </c>
      <c r="E2" s="4" t="s">
        <v>3</v>
      </c>
    </row>
    <row r="3" spans="2:5">
      <c r="B3" t="s">
        <v>7</v>
      </c>
      <c r="C3" t="s">
        <v>8</v>
      </c>
    </row>
    <row r="4" spans="2:5">
      <c r="B4" t="s">
        <v>9</v>
      </c>
      <c r="C4" t="s">
        <v>8</v>
      </c>
    </row>
    <row r="5" spans="2:5">
      <c r="B5" t="s">
        <v>10</v>
      </c>
      <c r="C5" t="s">
        <v>8</v>
      </c>
    </row>
    <row r="6" spans="2:5">
      <c r="B6" t="s">
        <v>11</v>
      </c>
      <c r="C6" t="s">
        <v>12</v>
      </c>
      <c r="D6">
        <v>2.5136479999999999</v>
      </c>
      <c r="E6">
        <f>(D6/SUM(D6:D9)*100)</f>
        <v>42.920813499171338</v>
      </c>
    </row>
    <row r="7" spans="2:5">
      <c r="B7" t="s">
        <v>13</v>
      </c>
      <c r="C7" t="s">
        <v>12</v>
      </c>
      <c r="D7">
        <v>1.0493269999999999</v>
      </c>
      <c r="E7">
        <f>(D7/SUM(D6:D9)*100)</f>
        <v>17.917372864714935</v>
      </c>
    </row>
    <row r="8" spans="2:5">
      <c r="B8" t="s">
        <v>14</v>
      </c>
      <c r="C8" t="s">
        <v>12</v>
      </c>
      <c r="D8">
        <v>1.001241</v>
      </c>
      <c r="E8">
        <f>(D8/SUM(D6:D9)*100)</f>
        <v>17.096299175033185</v>
      </c>
    </row>
    <row r="9" spans="2:5">
      <c r="B9" t="s">
        <v>15</v>
      </c>
      <c r="C9" t="s">
        <v>12</v>
      </c>
      <c r="D9">
        <v>1.292262</v>
      </c>
      <c r="E9" s="1">
        <f>(D9/SUM(D6:D9)*100)</f>
        <v>22.065514461080536</v>
      </c>
    </row>
    <row r="10" spans="2:5">
      <c r="B10" t="s">
        <v>16</v>
      </c>
      <c r="C10" t="s">
        <v>17</v>
      </c>
      <c r="D10">
        <v>0.38880999999999999</v>
      </c>
      <c r="E10">
        <f>(D10/SUM(D10:D11)*100)</f>
        <v>38.140165426750791</v>
      </c>
    </row>
    <row r="11" spans="2:5">
      <c r="B11" t="s">
        <v>18</v>
      </c>
      <c r="C11" t="s">
        <v>17</v>
      </c>
      <c r="D11">
        <v>0.63061400000000001</v>
      </c>
      <c r="E11" s="1">
        <f>(D11/SUM(D10:D11)*100)</f>
        <v>61.859834573249216</v>
      </c>
    </row>
    <row r="12" spans="2:5">
      <c r="B12" t="s">
        <v>19</v>
      </c>
      <c r="C12" t="s">
        <v>20</v>
      </c>
      <c r="D12">
        <v>1.3564309999999999</v>
      </c>
      <c r="E12">
        <f>(D12/SUM(D12:D13)*100)</f>
        <v>23.209893992207306</v>
      </c>
    </row>
    <row r="13" spans="2:5">
      <c r="B13" t="s">
        <v>21</v>
      </c>
      <c r="C13" t="s">
        <v>20</v>
      </c>
      <c r="D13">
        <v>4.487762</v>
      </c>
      <c r="E13" s="1">
        <f>(D13/SUM(D12:D13)*100)</f>
        <v>76.790106007792687</v>
      </c>
    </row>
    <row r="14" spans="2:5">
      <c r="B14" t="s">
        <v>22</v>
      </c>
      <c r="C14" t="s">
        <v>23</v>
      </c>
      <c r="D14">
        <v>5.0766749999999998</v>
      </c>
      <c r="E14">
        <f>(D14/SUM(D14:D15)*100)</f>
        <v>74.12997567440766</v>
      </c>
    </row>
    <row r="15" spans="2:5">
      <c r="B15" t="s">
        <v>24</v>
      </c>
      <c r="C15" t="s">
        <v>23</v>
      </c>
      <c r="D15">
        <v>1.771668</v>
      </c>
      <c r="E15" s="1">
        <f>(D15/SUM(D14:D15)*100)</f>
        <v>25.87002432559234</v>
      </c>
    </row>
    <row r="16" spans="2:5">
      <c r="B16" t="s">
        <v>25</v>
      </c>
      <c r="C16" t="s">
        <v>26</v>
      </c>
      <c r="D16">
        <v>1.8086819999999999</v>
      </c>
      <c r="E16">
        <f>(D16/SUM(D16:D17)*100)</f>
        <v>37.278254320730149</v>
      </c>
    </row>
    <row r="17" spans="2:5">
      <c r="B17" t="s">
        <v>27</v>
      </c>
      <c r="C17" t="s">
        <v>26</v>
      </c>
      <c r="D17">
        <v>3.0431599999999999</v>
      </c>
      <c r="E17" s="1">
        <f>(D17/SUM(D16:D17)*100)</f>
        <v>62.721745679269858</v>
      </c>
    </row>
    <row r="18" spans="2:5">
      <c r="B18" t="s">
        <v>28</v>
      </c>
      <c r="C18" t="s">
        <v>29</v>
      </c>
      <c r="D18">
        <v>2.5985870000000002</v>
      </c>
      <c r="E18">
        <f>(D18/SUM(D18:D21)*100)</f>
        <v>41.627078080396771</v>
      </c>
    </row>
    <row r="19" spans="2:5">
      <c r="B19" t="s">
        <v>30</v>
      </c>
      <c r="C19" t="s">
        <v>29</v>
      </c>
      <c r="D19">
        <v>0.76889200000000002</v>
      </c>
      <c r="E19">
        <f>(D19/SUM(D18:D21)*100)</f>
        <v>12.316973539616887</v>
      </c>
    </row>
    <row r="20" spans="2:5">
      <c r="B20" t="s">
        <v>31</v>
      </c>
      <c r="C20" t="s">
        <v>29</v>
      </c>
      <c r="D20">
        <v>0.81738200000000005</v>
      </c>
      <c r="E20">
        <f>(D20/SUM(D18:D21)*100)</f>
        <v>13.093740688886255</v>
      </c>
    </row>
    <row r="21" spans="2:5">
      <c r="B21" t="s">
        <v>32</v>
      </c>
      <c r="C21" t="s">
        <v>29</v>
      </c>
      <c r="D21">
        <v>2.0576789999999998</v>
      </c>
      <c r="E21" s="1">
        <f>(D21/SUM(D18:D21)*100)</f>
        <v>32.96220769110009</v>
      </c>
    </row>
    <row r="22" spans="2:5">
      <c r="B22" t="s">
        <v>33</v>
      </c>
      <c r="C22" t="s">
        <v>34</v>
      </c>
      <c r="D22">
        <v>0.65954699999999999</v>
      </c>
      <c r="E22">
        <f>(D22/SUM(D22:D23)*100)</f>
        <v>31.082425472294311</v>
      </c>
    </row>
    <row r="23" spans="2:5">
      <c r="B23" t="s">
        <v>35</v>
      </c>
      <c r="C23" t="s">
        <v>34</v>
      </c>
      <c r="D23">
        <v>1.4623820000000001</v>
      </c>
      <c r="E23" s="1">
        <f>(D23/SUM(D22:D23)*100)</f>
        <v>68.917574527705682</v>
      </c>
    </row>
    <row r="24" spans="2:5">
      <c r="B24" t="s">
        <v>36</v>
      </c>
      <c r="C24" t="s">
        <v>37</v>
      </c>
      <c r="D24">
        <v>1.6784859999999999</v>
      </c>
      <c r="E24">
        <f>(D24/SUM(D24:D26)*100)</f>
        <v>19.751218472656188</v>
      </c>
    </row>
    <row r="25" spans="2:5">
      <c r="B25" t="s">
        <v>38</v>
      </c>
      <c r="C25" t="s">
        <v>37</v>
      </c>
      <c r="D25">
        <v>2.536762</v>
      </c>
      <c r="E25">
        <f>(D25/SUM(D24:D26)*100)</f>
        <v>29.850794391572084</v>
      </c>
    </row>
    <row r="26" spans="2:5">
      <c r="B26" t="s">
        <v>39</v>
      </c>
      <c r="C26" t="s">
        <v>37</v>
      </c>
      <c r="D26">
        <v>4.2828910000000002</v>
      </c>
      <c r="E26" s="1">
        <f>(D26/SUM(D24:D26)*100)</f>
        <v>50.397987135771729</v>
      </c>
    </row>
    <row r="27" spans="2:5">
      <c r="B27" t="s">
        <v>40</v>
      </c>
      <c r="C27" t="s">
        <v>41</v>
      </c>
      <c r="D27">
        <v>4.6195750000000002</v>
      </c>
      <c r="E27">
        <f>(D27/SUM(D27:D28)*100)</f>
        <v>71.153294623612197</v>
      </c>
    </row>
    <row r="28" spans="2:5">
      <c r="B28" t="s">
        <v>42</v>
      </c>
      <c r="C28" t="s">
        <v>41</v>
      </c>
      <c r="D28">
        <v>1.872851</v>
      </c>
      <c r="E28" s="1">
        <f>(D28/SUM($D$27:$D$28)*100)</f>
        <v>28.84670537638781</v>
      </c>
    </row>
    <row r="29" spans="2:5">
      <c r="B29" t="s">
        <v>43</v>
      </c>
      <c r="C29" t="s">
        <v>44</v>
      </c>
      <c r="D29">
        <v>0.89876500000000004</v>
      </c>
      <c r="E29">
        <f>(D29/SUM(D29:D34)*100)</f>
        <v>9.7503898463548637</v>
      </c>
    </row>
    <row r="30" spans="2:5">
      <c r="B30" t="s">
        <v>45</v>
      </c>
      <c r="C30" t="s">
        <v>44</v>
      </c>
      <c r="D30">
        <v>1.4685239999999999</v>
      </c>
      <c r="E30">
        <f>(D30/SUM(D29:D34)*100)</f>
        <v>15.931507678568291</v>
      </c>
    </row>
    <row r="31" spans="2:5">
      <c r="B31" t="s">
        <v>46</v>
      </c>
      <c r="C31" t="s">
        <v>44</v>
      </c>
      <c r="D31">
        <v>1.094746</v>
      </c>
      <c r="E31">
        <f>(D31/SUM(D29:D34)*100)</f>
        <v>11.876519760713425</v>
      </c>
    </row>
    <row r="32" spans="2:5">
      <c r="B32" t="s">
        <v>47</v>
      </c>
      <c r="C32" t="s">
        <v>44</v>
      </c>
      <c r="D32">
        <v>2.120959</v>
      </c>
      <c r="E32">
        <f>(D32/SUM(D29:D34)*100)</f>
        <v>23.009548767625539</v>
      </c>
    </row>
    <row r="33" spans="2:5">
      <c r="B33" t="s">
        <v>48</v>
      </c>
      <c r="C33" t="s">
        <v>44</v>
      </c>
      <c r="D33">
        <v>1.9710430000000001</v>
      </c>
      <c r="E33">
        <f>(D33/SUM(D29:D34)*100)</f>
        <v>21.383162065644335</v>
      </c>
    </row>
    <row r="34" spans="2:5">
      <c r="B34" s="3" t="s">
        <v>49</v>
      </c>
      <c r="C34" t="s">
        <v>44</v>
      </c>
      <c r="D34">
        <v>1.663697</v>
      </c>
      <c r="E34" s="1">
        <f>(D34/SUM(D29:D34)*100)</f>
        <v>18.048871881093554</v>
      </c>
    </row>
    <row r="35" spans="2:5">
      <c r="B35" s="3" t="s">
        <v>50</v>
      </c>
      <c r="C35" t="s">
        <v>51</v>
      </c>
      <c r="D35">
        <v>2.504435</v>
      </c>
      <c r="E35" s="2">
        <f>(D35/SUM(D35:D35)*100)</f>
        <v>100</v>
      </c>
    </row>
    <row r="36" spans="2:5">
      <c r="B36" t="s">
        <v>52</v>
      </c>
      <c r="C36" t="s">
        <v>53</v>
      </c>
      <c r="D36">
        <v>1.495193</v>
      </c>
      <c r="E36">
        <f>(D36/SUM(D36:D37)*100)</f>
        <v>29.873078779625473</v>
      </c>
    </row>
    <row r="37" spans="2:5">
      <c r="B37" t="s">
        <v>54</v>
      </c>
      <c r="C37" t="s">
        <v>53</v>
      </c>
      <c r="D37">
        <v>3.5099589999999998</v>
      </c>
      <c r="E37" s="1">
        <f>(D37/SUM(D36:D37)*100)</f>
        <v>70.126921220374527</v>
      </c>
    </row>
    <row r="38" spans="2:5">
      <c r="B38" t="s">
        <v>55</v>
      </c>
      <c r="C38" t="s">
        <v>56</v>
      </c>
      <c r="D38">
        <v>1.0544180000000001</v>
      </c>
      <c r="E38">
        <f>(D38/SUM(D38:D41)*100)</f>
        <v>26.176189259753279</v>
      </c>
    </row>
    <row r="39" spans="2:5">
      <c r="B39" t="s">
        <v>57</v>
      </c>
      <c r="C39" t="s">
        <v>56</v>
      </c>
      <c r="D39">
        <v>1.032678</v>
      </c>
      <c r="E39">
        <f>(D39/SUM(D38:D41)*100)</f>
        <v>25.636488349386578</v>
      </c>
    </row>
    <row r="40" spans="2:5">
      <c r="B40" t="s">
        <v>58</v>
      </c>
      <c r="C40" t="s">
        <v>56</v>
      </c>
      <c r="D40">
        <v>1.0661369999999999</v>
      </c>
      <c r="E40">
        <f>(D40/SUM(D38:D41)*100)</f>
        <v>26.467116351224639</v>
      </c>
    </row>
    <row r="41" spans="2:5">
      <c r="B41" t="s">
        <v>59</v>
      </c>
      <c r="C41" t="s">
        <v>56</v>
      </c>
      <c r="D41">
        <v>0.87492400000000004</v>
      </c>
      <c r="E41" s="1">
        <f>(D41/SUM(D38:D41)*100)</f>
        <v>21.720206039635496</v>
      </c>
    </row>
    <row r="42" spans="2:5">
      <c r="B42" t="s">
        <v>60</v>
      </c>
      <c r="C42" t="s">
        <v>61</v>
      </c>
      <c r="D42">
        <v>2.4186070000000002</v>
      </c>
      <c r="E42">
        <f>(D42/SUM(D42:D43)*100)</f>
        <v>68.066961305567034</v>
      </c>
    </row>
    <row r="43" spans="2:5">
      <c r="B43" t="s">
        <v>62</v>
      </c>
      <c r="C43" t="s">
        <v>61</v>
      </c>
      <c r="D43">
        <v>1.1346689999999999</v>
      </c>
      <c r="E43" s="1">
        <f>(D43/SUM(D42:D43)*100)</f>
        <v>31.933038694432963</v>
      </c>
    </row>
    <row r="44" spans="2:5">
      <c r="B44" t="s">
        <v>63</v>
      </c>
      <c r="C44" t="s">
        <v>64</v>
      </c>
      <c r="D44">
        <v>0.80687600000000004</v>
      </c>
      <c r="E44">
        <f>(D44/SUM(D44:D49)*100)</f>
        <v>17.931036015364835</v>
      </c>
    </row>
    <row r="45" spans="2:5">
      <c r="B45" t="s">
        <v>65</v>
      </c>
      <c r="C45" t="s">
        <v>64</v>
      </c>
      <c r="D45">
        <v>0.30904399999999999</v>
      </c>
      <c r="E45">
        <f>(D45/SUM(D44:D49)*100)</f>
        <v>6.8678199553988586</v>
      </c>
    </row>
    <row r="46" spans="2:5">
      <c r="B46" t="s">
        <v>66</v>
      </c>
      <c r="C46" t="s">
        <v>64</v>
      </c>
      <c r="D46">
        <v>1.183079</v>
      </c>
      <c r="E46">
        <f>(D46/SUM(D44:D49)*100)</f>
        <v>26.291316333639632</v>
      </c>
    </row>
    <row r="47" spans="2:5">
      <c r="B47" t="s">
        <v>67</v>
      </c>
      <c r="C47" t="s">
        <v>64</v>
      </c>
      <c r="D47">
        <v>0.485952</v>
      </c>
      <c r="E47">
        <f>(D47/SUM(D44:D49)*100)</f>
        <v>10.799209313126889</v>
      </c>
    </row>
    <row r="48" spans="2:5">
      <c r="B48" t="s">
        <v>68</v>
      </c>
      <c r="C48" t="s">
        <v>64</v>
      </c>
      <c r="D48">
        <v>0.78473199999999999</v>
      </c>
      <c r="E48">
        <f>(D48/SUM(D44:D49)*100)</f>
        <v>17.438934550549622</v>
      </c>
    </row>
    <row r="49" spans="2:5">
      <c r="B49" t="s">
        <v>69</v>
      </c>
      <c r="C49" t="s">
        <v>64</v>
      </c>
      <c r="D49">
        <v>0.93020199999999997</v>
      </c>
      <c r="E49" s="1">
        <f>(D49/SUM(D44:D49)*100)</f>
        <v>20.671683831920145</v>
      </c>
    </row>
    <row r="50" spans="2:5">
      <c r="B50" t="s">
        <v>70</v>
      </c>
      <c r="C50" t="s">
        <v>71</v>
      </c>
      <c r="D50">
        <v>0.89868400000000004</v>
      </c>
      <c r="E50">
        <f>(D50/SUM($D$50:$D$55)*100)</f>
        <v>13.619108857670279</v>
      </c>
    </row>
    <row r="51" spans="2:5">
      <c r="B51" t="s">
        <v>72</v>
      </c>
      <c r="C51" t="s">
        <v>71</v>
      </c>
      <c r="D51">
        <v>1.386252</v>
      </c>
      <c r="E51">
        <f t="shared" ref="E51:E55" si="0">(D51/SUM($D$50:$D$55)*100)</f>
        <v>21.007959296218846</v>
      </c>
    </row>
    <row r="52" spans="2:5">
      <c r="B52" t="s">
        <v>73</v>
      </c>
      <c r="C52" t="s">
        <v>71</v>
      </c>
      <c r="D52">
        <v>1.0897349999999999</v>
      </c>
      <c r="E52">
        <f t="shared" si="0"/>
        <v>16.514391700545819</v>
      </c>
    </row>
    <row r="53" spans="2:5">
      <c r="B53" t="s">
        <v>74</v>
      </c>
      <c r="C53" t="s">
        <v>71</v>
      </c>
      <c r="D53">
        <v>0.89932999999999996</v>
      </c>
      <c r="E53">
        <f t="shared" si="0"/>
        <v>13.628898666237088</v>
      </c>
    </row>
    <row r="54" spans="2:5">
      <c r="B54" t="s">
        <v>75</v>
      </c>
      <c r="C54" t="s">
        <v>71</v>
      </c>
      <c r="D54">
        <v>0.85375000000000001</v>
      </c>
      <c r="E54">
        <f t="shared" si="0"/>
        <v>12.938156445687248</v>
      </c>
    </row>
    <row r="55" spans="2:5">
      <c r="B55" t="s">
        <v>76</v>
      </c>
      <c r="C55" t="s">
        <v>71</v>
      </c>
      <c r="D55">
        <v>1.4709479999999999</v>
      </c>
      <c r="E55" s="1">
        <f t="shared" si="0"/>
        <v>22.291485033640722</v>
      </c>
    </row>
    <row r="56" spans="2:5">
      <c r="B56" t="s">
        <v>77</v>
      </c>
      <c r="C56" t="s">
        <v>78</v>
      </c>
      <c r="D56">
        <v>1.705802</v>
      </c>
      <c r="E56" s="6">
        <f>(D56/SUM($D$56:$D$59)*100)</f>
        <v>30.374589223247984</v>
      </c>
    </row>
    <row r="57" spans="2:5">
      <c r="B57" t="s">
        <v>79</v>
      </c>
      <c r="C57" t="s">
        <v>78</v>
      </c>
      <c r="D57">
        <v>1.7199450000000001</v>
      </c>
      <c r="E57">
        <f t="shared" ref="E57:E59" si="1">(D57/SUM($D$56:$D$59)*100)</f>
        <v>30.626428425795755</v>
      </c>
    </row>
    <row r="58" spans="2:5">
      <c r="B58" t="s">
        <v>80</v>
      </c>
      <c r="C58" t="s">
        <v>78</v>
      </c>
      <c r="D58">
        <v>1.1863919999999999</v>
      </c>
      <c r="E58">
        <f t="shared" si="1"/>
        <v>21.125646269465985</v>
      </c>
    </row>
    <row r="59" spans="2:5">
      <c r="B59" t="s">
        <v>81</v>
      </c>
      <c r="C59" t="s">
        <v>78</v>
      </c>
      <c r="D59">
        <v>1.003746</v>
      </c>
      <c r="E59" s="1">
        <f t="shared" si="1"/>
        <v>17.873336081490272</v>
      </c>
    </row>
    <row r="60" spans="2:5">
      <c r="B60" t="s">
        <v>82</v>
      </c>
      <c r="C60" t="s">
        <v>83</v>
      </c>
      <c r="D60">
        <v>1.634522</v>
      </c>
      <c r="E60">
        <f>(D60/SUM(D60:D63)*100)</f>
        <v>26.811164514010922</v>
      </c>
    </row>
    <row r="61" spans="2:5">
      <c r="B61" t="s">
        <v>84</v>
      </c>
      <c r="C61" t="s">
        <v>83</v>
      </c>
      <c r="D61">
        <v>0.987178</v>
      </c>
      <c r="E61">
        <f>(D61/SUM(D60:D63)*100)</f>
        <v>16.192741218908203</v>
      </c>
    </row>
    <row r="62" spans="2:5">
      <c r="B62" s="3" t="s">
        <v>85</v>
      </c>
      <c r="C62" t="s">
        <v>83</v>
      </c>
      <c r="D62">
        <v>1.3141640000000001</v>
      </c>
      <c r="E62">
        <f>(D62/SUM(D60:D63)*100)</f>
        <v>21.556312611510062</v>
      </c>
    </row>
    <row r="63" spans="2:5">
      <c r="B63" t="s">
        <v>86</v>
      </c>
      <c r="C63" t="s">
        <v>83</v>
      </c>
      <c r="D63">
        <v>2.1605590000000001</v>
      </c>
      <c r="E63" s="1">
        <f>(D63/SUM(D60:D63)*100)</f>
        <v>35.439781655570812</v>
      </c>
    </row>
    <row r="64" spans="2:5">
      <c r="B64" t="s">
        <v>87</v>
      </c>
      <c r="C64" t="s">
        <v>88</v>
      </c>
      <c r="D64">
        <v>1.292505</v>
      </c>
      <c r="E64" s="2">
        <f>(D64/SUM(D64)*100)</f>
        <v>100</v>
      </c>
    </row>
    <row r="65" spans="2:5">
      <c r="B65" t="s">
        <v>89</v>
      </c>
      <c r="C65" t="s">
        <v>90</v>
      </c>
      <c r="D65">
        <v>1.2047369999999999</v>
      </c>
      <c r="E65">
        <f>(D65/SUM(D65:D66)*100)</f>
        <v>31.599352347269022</v>
      </c>
    </row>
    <row r="66" spans="2:5">
      <c r="B66" t="s">
        <v>91</v>
      </c>
      <c r="C66" t="s">
        <v>90</v>
      </c>
      <c r="D66">
        <v>2.6078000000000001</v>
      </c>
      <c r="E66" s="1">
        <f>(D66/SUM(D65:D66)*100)</f>
        <v>68.400647652730981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F96E-C2B8-4AD5-B392-013F44EDB6B4}">
  <dimension ref="A1:G66"/>
  <sheetViews>
    <sheetView topLeftCell="A7" zoomScaleNormal="100" workbookViewId="0">
      <selection activeCell="F17" sqref="F17"/>
    </sheetView>
  </sheetViews>
  <sheetFormatPr defaultRowHeight="14.45"/>
  <sheetData>
    <row r="1" spans="1:7">
      <c r="A1" s="4" t="s">
        <v>92</v>
      </c>
    </row>
    <row r="2" spans="1:7">
      <c r="C2" s="4">
        <v>214</v>
      </c>
      <c r="D2" s="4">
        <v>164</v>
      </c>
      <c r="F2" s="4" t="s">
        <v>93</v>
      </c>
      <c r="G2" s="4" t="s">
        <v>94</v>
      </c>
    </row>
    <row r="3" spans="1:7">
      <c r="A3" t="s">
        <v>8</v>
      </c>
      <c r="B3" t="s">
        <v>7</v>
      </c>
      <c r="C3">
        <v>51.885830784913345</v>
      </c>
    </row>
    <row r="4" spans="1:7">
      <c r="A4" t="s">
        <v>8</v>
      </c>
      <c r="B4" t="s">
        <v>9</v>
      </c>
      <c r="C4">
        <v>25.993883792048926</v>
      </c>
    </row>
    <row r="5" spans="1:7">
      <c r="A5" t="s">
        <v>8</v>
      </c>
      <c r="B5" t="s">
        <v>10</v>
      </c>
      <c r="C5">
        <v>22.120285423037714</v>
      </c>
    </row>
    <row r="6" spans="1:7">
      <c r="A6" t="s">
        <v>12</v>
      </c>
      <c r="B6" t="s">
        <v>11</v>
      </c>
      <c r="C6">
        <v>43.075701532177362</v>
      </c>
      <c r="D6">
        <v>42.920813499171338</v>
      </c>
      <c r="E6" t="s">
        <v>90</v>
      </c>
      <c r="F6">
        <v>43</v>
      </c>
      <c r="G6">
        <f>SUM(F6:F9)</f>
        <v>100</v>
      </c>
    </row>
    <row r="7" spans="1:7">
      <c r="A7" t="s">
        <v>12</v>
      </c>
      <c r="B7" t="s">
        <v>13</v>
      </c>
      <c r="C7">
        <v>17.819895537080111</v>
      </c>
      <c r="D7">
        <v>17.917372864714935</v>
      </c>
      <c r="E7" t="s">
        <v>95</v>
      </c>
      <c r="F7">
        <v>18</v>
      </c>
    </row>
    <row r="8" spans="1:7">
      <c r="A8" t="s">
        <v>12</v>
      </c>
      <c r="B8" t="s">
        <v>14</v>
      </c>
      <c r="C8">
        <v>16.996186598969825</v>
      </c>
      <c r="D8">
        <v>17.096299175033185</v>
      </c>
      <c r="E8" t="s">
        <v>95</v>
      </c>
      <c r="F8">
        <v>17</v>
      </c>
    </row>
    <row r="9" spans="1:7">
      <c r="A9" t="s">
        <v>12</v>
      </c>
      <c r="B9" t="s">
        <v>15</v>
      </c>
      <c r="C9">
        <v>22.108216331772709</v>
      </c>
      <c r="D9">
        <v>22.065514461080536</v>
      </c>
      <c r="E9" t="s">
        <v>95</v>
      </c>
      <c r="F9">
        <v>22</v>
      </c>
      <c r="G9" s="1"/>
    </row>
    <row r="10" spans="1:7">
      <c r="A10" t="s">
        <v>17</v>
      </c>
      <c r="B10" t="s">
        <v>16</v>
      </c>
      <c r="C10">
        <v>37.704476580544693</v>
      </c>
      <c r="D10">
        <v>38.140165426750791</v>
      </c>
      <c r="E10" t="s">
        <v>95</v>
      </c>
      <c r="F10">
        <v>38</v>
      </c>
      <c r="G10">
        <f>SUM(F10:F11)</f>
        <v>100</v>
      </c>
    </row>
    <row r="11" spans="1:7">
      <c r="A11" t="s">
        <v>17</v>
      </c>
      <c r="B11" t="s">
        <v>18</v>
      </c>
      <c r="C11">
        <v>62.295523419455314</v>
      </c>
      <c r="D11">
        <v>61.859834573249216</v>
      </c>
      <c r="E11" t="s">
        <v>95</v>
      </c>
      <c r="F11">
        <v>62</v>
      </c>
      <c r="G11" s="1"/>
    </row>
    <row r="12" spans="1:7">
      <c r="A12" t="s">
        <v>20</v>
      </c>
      <c r="B12" t="s">
        <v>19</v>
      </c>
      <c r="C12">
        <v>23.048877193752677</v>
      </c>
      <c r="D12">
        <v>23.209893992207306</v>
      </c>
      <c r="E12" t="s">
        <v>95</v>
      </c>
      <c r="F12">
        <v>23</v>
      </c>
      <c r="G12">
        <f>SUM(F12:F13)</f>
        <v>100</v>
      </c>
    </row>
    <row r="13" spans="1:7">
      <c r="A13" t="s">
        <v>20</v>
      </c>
      <c r="B13" t="s">
        <v>21</v>
      </c>
      <c r="C13">
        <v>76.951122806247326</v>
      </c>
      <c r="D13">
        <v>76.790106007792687</v>
      </c>
      <c r="E13" t="s">
        <v>95</v>
      </c>
      <c r="F13">
        <v>77</v>
      </c>
      <c r="G13" s="1"/>
    </row>
    <row r="14" spans="1:7">
      <c r="A14" t="s">
        <v>23</v>
      </c>
      <c r="B14" t="s">
        <v>22</v>
      </c>
      <c r="C14">
        <v>74.366290868820201</v>
      </c>
      <c r="D14">
        <v>74.12997567440766</v>
      </c>
      <c r="E14" t="s">
        <v>95</v>
      </c>
      <c r="F14">
        <v>74</v>
      </c>
      <c r="G14">
        <f>SUM(F14:F15)</f>
        <v>100</v>
      </c>
    </row>
    <row r="15" spans="1:7">
      <c r="A15" t="s">
        <v>23</v>
      </c>
      <c r="B15" t="s">
        <v>24</v>
      </c>
      <c r="C15">
        <v>25.633709131179792</v>
      </c>
      <c r="D15">
        <v>25.87002432559234</v>
      </c>
      <c r="E15" t="s">
        <v>95</v>
      </c>
      <c r="F15">
        <v>26</v>
      </c>
      <c r="G15" s="1"/>
    </row>
    <row r="16" spans="1:7">
      <c r="A16" t="s">
        <v>26</v>
      </c>
      <c r="B16" t="s">
        <v>25</v>
      </c>
      <c r="C16">
        <v>37.193264285965974</v>
      </c>
      <c r="D16">
        <v>37.278254320730149</v>
      </c>
      <c r="E16" t="s">
        <v>95</v>
      </c>
      <c r="F16">
        <v>37</v>
      </c>
      <c r="G16">
        <f>SUM(F16:F17)</f>
        <v>100</v>
      </c>
    </row>
    <row r="17" spans="1:7">
      <c r="A17" t="s">
        <v>26</v>
      </c>
      <c r="B17" t="s">
        <v>27</v>
      </c>
      <c r="C17">
        <v>62.806735714034026</v>
      </c>
      <c r="D17">
        <v>62.721745679269858</v>
      </c>
      <c r="E17" t="s">
        <v>95</v>
      </c>
      <c r="F17">
        <v>63</v>
      </c>
      <c r="G17" s="1"/>
    </row>
    <row r="18" spans="1:7">
      <c r="A18" t="s">
        <v>29</v>
      </c>
      <c r="B18" t="s">
        <v>28</v>
      </c>
      <c r="C18">
        <v>41.748181976980462</v>
      </c>
      <c r="D18">
        <v>41.627078080396771</v>
      </c>
      <c r="E18" t="s">
        <v>95</v>
      </c>
      <c r="F18">
        <v>42</v>
      </c>
      <c r="G18">
        <f>SUM(F18:F21)</f>
        <v>100</v>
      </c>
    </row>
    <row r="19" spans="1:7">
      <c r="A19" t="s">
        <v>29</v>
      </c>
      <c r="B19" t="s">
        <v>30</v>
      </c>
      <c r="C19">
        <v>12.161060945862603</v>
      </c>
      <c r="D19">
        <v>12.316973539616887</v>
      </c>
      <c r="E19" t="s">
        <v>95</v>
      </c>
      <c r="F19">
        <v>12</v>
      </c>
    </row>
    <row r="20" spans="1:7">
      <c r="A20" t="s">
        <v>29</v>
      </c>
      <c r="B20" t="s">
        <v>31</v>
      </c>
      <c r="C20">
        <v>12.97065512754968</v>
      </c>
      <c r="D20">
        <v>13.093740688886255</v>
      </c>
      <c r="E20" t="s">
        <v>95</v>
      </c>
      <c r="F20">
        <v>13</v>
      </c>
    </row>
    <row r="21" spans="1:7">
      <c r="A21" t="s">
        <v>29</v>
      </c>
      <c r="B21" t="s">
        <v>32</v>
      </c>
      <c r="C21">
        <v>33.120101949607246</v>
      </c>
      <c r="D21">
        <v>32.96220769110009</v>
      </c>
      <c r="E21" t="s">
        <v>95</v>
      </c>
      <c r="F21">
        <v>33</v>
      </c>
      <c r="G21" s="1"/>
    </row>
    <row r="22" spans="1:7">
      <c r="A22" t="s">
        <v>34</v>
      </c>
      <c r="B22" t="s">
        <v>33</v>
      </c>
      <c r="C22">
        <v>30.861252040744525</v>
      </c>
      <c r="D22">
        <v>31.082425472294311</v>
      </c>
      <c r="E22" t="s">
        <v>95</v>
      </c>
      <c r="F22">
        <v>31</v>
      </c>
      <c r="G22">
        <f>SUM(F22:F23)</f>
        <v>100</v>
      </c>
    </row>
    <row r="23" spans="1:7">
      <c r="A23" t="s">
        <v>34</v>
      </c>
      <c r="B23" t="s">
        <v>35</v>
      </c>
      <c r="C23">
        <v>69.138747959255483</v>
      </c>
      <c r="D23">
        <v>68.917574527705682</v>
      </c>
      <c r="E23" t="s">
        <v>95</v>
      </c>
      <c r="F23">
        <v>69</v>
      </c>
      <c r="G23" s="1"/>
    </row>
    <row r="24" spans="1:7">
      <c r="A24" t="s">
        <v>37</v>
      </c>
      <c r="B24" t="s">
        <v>36</v>
      </c>
      <c r="C24">
        <v>19.65779222303053</v>
      </c>
      <c r="D24">
        <v>19.751218472656188</v>
      </c>
      <c r="E24" t="s">
        <v>95</v>
      </c>
      <c r="F24">
        <v>20</v>
      </c>
      <c r="G24">
        <f>SUM(F24:F26)</f>
        <v>100</v>
      </c>
    </row>
    <row r="25" spans="1:7">
      <c r="A25" t="s">
        <v>37</v>
      </c>
      <c r="B25" t="s">
        <v>38</v>
      </c>
      <c r="C25">
        <v>29.779973247600498</v>
      </c>
      <c r="D25">
        <v>29.850794391572084</v>
      </c>
      <c r="E25" t="s">
        <v>95</v>
      </c>
      <c r="F25">
        <v>30</v>
      </c>
    </row>
    <row r="26" spans="1:7">
      <c r="A26" t="s">
        <v>37</v>
      </c>
      <c r="B26" t="s">
        <v>39</v>
      </c>
      <c r="C26">
        <v>50.562234529368979</v>
      </c>
      <c r="D26">
        <v>50.397987135771729</v>
      </c>
      <c r="E26" t="s">
        <v>95</v>
      </c>
      <c r="F26">
        <v>50</v>
      </c>
      <c r="G26" s="1"/>
    </row>
    <row r="27" spans="1:7">
      <c r="A27" t="s">
        <v>41</v>
      </c>
      <c r="B27" t="s">
        <v>40</v>
      </c>
      <c r="C27">
        <v>71.300462798368159</v>
      </c>
      <c r="D27">
        <v>71.153294623612197</v>
      </c>
      <c r="E27" t="s">
        <v>95</v>
      </c>
      <c r="F27">
        <v>71</v>
      </c>
      <c r="G27">
        <f>SUM(F27:F28)</f>
        <v>100</v>
      </c>
    </row>
    <row r="28" spans="1:7">
      <c r="A28" t="s">
        <v>41</v>
      </c>
      <c r="B28" t="s">
        <v>42</v>
      </c>
      <c r="C28">
        <v>28.699537201631841</v>
      </c>
      <c r="D28">
        <v>28.84670537638781</v>
      </c>
      <c r="E28" t="s">
        <v>95</v>
      </c>
      <c r="F28">
        <v>29</v>
      </c>
      <c r="G28" s="1"/>
    </row>
    <row r="29" spans="1:7">
      <c r="A29" t="s">
        <v>44</v>
      </c>
      <c r="B29" t="s">
        <v>43</v>
      </c>
      <c r="C29">
        <v>9.7644892048021248</v>
      </c>
      <c r="D29">
        <v>9.7503898463548637</v>
      </c>
      <c r="E29" t="s">
        <v>95</v>
      </c>
      <c r="F29">
        <v>10</v>
      </c>
      <c r="G29">
        <f>SUM(F29:F34)</f>
        <v>100</v>
      </c>
    </row>
    <row r="30" spans="1:7">
      <c r="A30" t="s">
        <v>44</v>
      </c>
      <c r="B30" t="s">
        <v>45</v>
      </c>
      <c r="C30">
        <v>15.938637514495626</v>
      </c>
      <c r="D30">
        <v>15.931507678568291</v>
      </c>
      <c r="E30" t="s">
        <v>95</v>
      </c>
      <c r="F30">
        <v>16</v>
      </c>
    </row>
    <row r="31" spans="1:7">
      <c r="A31" t="s">
        <v>44</v>
      </c>
      <c r="B31" t="s">
        <v>46</v>
      </c>
      <c r="C31">
        <v>11.754118156835839</v>
      </c>
      <c r="D31">
        <v>11.876519760713425</v>
      </c>
      <c r="E31" t="s">
        <v>95</v>
      </c>
      <c r="F31">
        <v>12</v>
      </c>
    </row>
    <row r="32" spans="1:7">
      <c r="A32" t="s">
        <v>44</v>
      </c>
      <c r="B32" t="s">
        <v>47</v>
      </c>
      <c r="C32">
        <v>23.062588915643005</v>
      </c>
      <c r="D32">
        <v>23.009548767625539</v>
      </c>
      <c r="E32" t="s">
        <v>95</v>
      </c>
      <c r="F32">
        <v>23</v>
      </c>
    </row>
    <row r="33" spans="1:7">
      <c r="A33" t="s">
        <v>44</v>
      </c>
      <c r="B33" t="s">
        <v>48</v>
      </c>
      <c r="C33">
        <v>21.420464764227397</v>
      </c>
      <c r="D33">
        <v>21.383162065644335</v>
      </c>
      <c r="E33" t="s">
        <v>95</v>
      </c>
      <c r="F33">
        <v>21</v>
      </c>
    </row>
    <row r="34" spans="1:7">
      <c r="A34" t="s">
        <v>44</v>
      </c>
      <c r="B34" t="s">
        <v>49</v>
      </c>
      <c r="C34">
        <v>18.059701443996005</v>
      </c>
      <c r="D34">
        <v>18.048871881093554</v>
      </c>
      <c r="E34" t="s">
        <v>95</v>
      </c>
      <c r="F34">
        <v>18</v>
      </c>
      <c r="G34" s="1"/>
    </row>
    <row r="35" spans="1:7">
      <c r="A35" t="s">
        <v>51</v>
      </c>
      <c r="B35" t="s">
        <v>50</v>
      </c>
      <c r="C35">
        <v>100</v>
      </c>
      <c r="D35">
        <v>100</v>
      </c>
      <c r="E35" t="s">
        <v>95</v>
      </c>
      <c r="G35" s="2">
        <v>100</v>
      </c>
    </row>
    <row r="36" spans="1:7">
      <c r="A36" t="s">
        <v>53</v>
      </c>
      <c r="B36" t="s">
        <v>52</v>
      </c>
      <c r="C36">
        <v>29.726945761010111</v>
      </c>
      <c r="D36">
        <v>29.873078779625473</v>
      </c>
      <c r="E36" t="s">
        <v>95</v>
      </c>
      <c r="F36">
        <v>30</v>
      </c>
      <c r="G36">
        <f>SUM(F36:F37)</f>
        <v>100</v>
      </c>
    </row>
    <row r="37" spans="1:7">
      <c r="A37" t="s">
        <v>53</v>
      </c>
      <c r="B37" t="s">
        <v>54</v>
      </c>
      <c r="C37">
        <v>70.2730542389899</v>
      </c>
      <c r="D37">
        <v>70.126921220374527</v>
      </c>
      <c r="E37" t="s">
        <v>95</v>
      </c>
      <c r="F37">
        <v>70</v>
      </c>
      <c r="G37" s="1"/>
    </row>
    <row r="38" spans="1:7">
      <c r="A38" t="s">
        <v>56</v>
      </c>
      <c r="B38" t="s">
        <v>55</v>
      </c>
      <c r="C38">
        <v>26.337302875701496</v>
      </c>
      <c r="D38">
        <v>26.176189259753279</v>
      </c>
      <c r="E38" t="s">
        <v>95</v>
      </c>
      <c r="F38">
        <v>26</v>
      </c>
      <c r="G38">
        <f>SUM(F38:F41)</f>
        <v>100</v>
      </c>
    </row>
    <row r="39" spans="1:7">
      <c r="A39" t="s">
        <v>56</v>
      </c>
      <c r="B39" t="s">
        <v>57</v>
      </c>
      <c r="C39">
        <v>25.571354061268941</v>
      </c>
      <c r="D39">
        <v>25.636488349386578</v>
      </c>
      <c r="E39" t="s">
        <v>95</v>
      </c>
      <c r="F39">
        <v>26</v>
      </c>
    </row>
    <row r="40" spans="1:7">
      <c r="A40" t="s">
        <v>56</v>
      </c>
      <c r="B40" t="s">
        <v>58</v>
      </c>
      <c r="C40">
        <v>26.291882931398735</v>
      </c>
      <c r="D40">
        <v>26.467116351224639</v>
      </c>
      <c r="E40" t="s">
        <v>95</v>
      </c>
      <c r="F40">
        <v>26</v>
      </c>
    </row>
    <row r="41" spans="1:7">
      <c r="A41" t="s">
        <v>56</v>
      </c>
      <c r="B41" t="s">
        <v>59</v>
      </c>
      <c r="C41">
        <v>21.799460131630827</v>
      </c>
      <c r="D41">
        <v>21.720206039635496</v>
      </c>
      <c r="E41" t="s">
        <v>95</v>
      </c>
      <c r="F41">
        <v>22</v>
      </c>
      <c r="G41" s="1"/>
    </row>
    <row r="42" spans="1:7">
      <c r="A42" t="s">
        <v>61</v>
      </c>
      <c r="B42" t="s">
        <v>60</v>
      </c>
      <c r="C42">
        <v>68.308211262485898</v>
      </c>
      <c r="D42">
        <v>68.066961305567034</v>
      </c>
      <c r="E42" t="s">
        <v>95</v>
      </c>
      <c r="F42">
        <v>68</v>
      </c>
      <c r="G42">
        <f>SUM(F42:F43)</f>
        <v>100</v>
      </c>
    </row>
    <row r="43" spans="1:7">
      <c r="A43" t="s">
        <v>61</v>
      </c>
      <c r="B43" t="s">
        <v>62</v>
      </c>
      <c r="C43">
        <v>31.691788737514102</v>
      </c>
      <c r="D43">
        <v>31.933038694432963</v>
      </c>
      <c r="E43" t="s">
        <v>95</v>
      </c>
      <c r="F43">
        <v>32</v>
      </c>
      <c r="G43" s="1"/>
    </row>
    <row r="44" spans="1:7">
      <c r="A44" t="s">
        <v>64</v>
      </c>
      <c r="B44" t="s">
        <v>63</v>
      </c>
      <c r="C44">
        <v>17.822946185111444</v>
      </c>
      <c r="D44">
        <v>17.931036015364835</v>
      </c>
      <c r="E44" t="s">
        <v>95</v>
      </c>
      <c r="F44">
        <v>18</v>
      </c>
      <c r="G44">
        <f>SUM(F44:F49)</f>
        <v>100</v>
      </c>
    </row>
    <row r="45" spans="1:7">
      <c r="A45" t="s">
        <v>64</v>
      </c>
      <c r="B45" t="s">
        <v>65</v>
      </c>
      <c r="C45">
        <v>6.7118449831556735</v>
      </c>
      <c r="D45">
        <v>6.8678199553988586</v>
      </c>
      <c r="E45" t="s">
        <v>95</v>
      </c>
      <c r="F45">
        <v>7</v>
      </c>
    </row>
    <row r="46" spans="1:7">
      <c r="A46" t="s">
        <v>64</v>
      </c>
      <c r="B46" t="s">
        <v>66</v>
      </c>
      <c r="C46">
        <v>26.565942579912999</v>
      </c>
      <c r="D46">
        <v>26.291316333639632</v>
      </c>
      <c r="E46" t="s">
        <v>95</v>
      </c>
      <c r="F46">
        <v>26</v>
      </c>
    </row>
    <row r="47" spans="1:7">
      <c r="A47" t="s">
        <v>64</v>
      </c>
      <c r="B47" t="s">
        <v>67</v>
      </c>
      <c r="C47">
        <v>10.722288241969681</v>
      </c>
      <c r="D47">
        <v>10.799209313126889</v>
      </c>
      <c r="E47" t="s">
        <v>95</v>
      </c>
      <c r="F47">
        <v>11</v>
      </c>
    </row>
    <row r="48" spans="1:7">
      <c r="A48" t="s">
        <v>64</v>
      </c>
      <c r="B48" t="s">
        <v>68</v>
      </c>
      <c r="C48">
        <v>17.341561895928599</v>
      </c>
      <c r="D48">
        <v>17.438934550549622</v>
      </c>
      <c r="E48" t="s">
        <v>95</v>
      </c>
      <c r="F48">
        <v>17</v>
      </c>
    </row>
    <row r="49" spans="1:7">
      <c r="A49" t="s">
        <v>64</v>
      </c>
      <c r="B49" t="s">
        <v>69</v>
      </c>
      <c r="C49">
        <v>20.835416113921596</v>
      </c>
      <c r="D49">
        <v>20.671683831920145</v>
      </c>
      <c r="E49" t="s">
        <v>95</v>
      </c>
      <c r="F49">
        <v>21</v>
      </c>
      <c r="G49" s="1"/>
    </row>
    <row r="50" spans="1:7">
      <c r="A50" t="s">
        <v>71</v>
      </c>
      <c r="B50" t="s">
        <v>70</v>
      </c>
      <c r="C50">
        <v>13.549193634032742</v>
      </c>
      <c r="D50">
        <v>13.619108857670279</v>
      </c>
      <c r="E50" t="s">
        <v>95</v>
      </c>
      <c r="F50">
        <v>14</v>
      </c>
      <c r="G50">
        <f>SUM(F50:F55)</f>
        <v>100</v>
      </c>
    </row>
    <row r="51" spans="1:7">
      <c r="A51" t="s">
        <v>71</v>
      </c>
      <c r="B51" t="s">
        <v>72</v>
      </c>
      <c r="C51">
        <v>21.015505287272621</v>
      </c>
      <c r="D51">
        <v>21.007959296218846</v>
      </c>
      <c r="E51" t="s">
        <v>95</v>
      </c>
      <c r="F51">
        <v>21</v>
      </c>
    </row>
    <row r="52" spans="1:7">
      <c r="A52" t="s">
        <v>71</v>
      </c>
      <c r="B52" t="s">
        <v>73</v>
      </c>
      <c r="C52">
        <v>16.462139486899403</v>
      </c>
      <c r="D52">
        <v>16.514391700545819</v>
      </c>
      <c r="E52" t="s">
        <v>95</v>
      </c>
      <c r="F52">
        <v>16</v>
      </c>
    </row>
    <row r="53" spans="1:7">
      <c r="A53" t="s">
        <v>71</v>
      </c>
      <c r="B53" t="s">
        <v>74</v>
      </c>
      <c r="C53">
        <v>13.549193634032742</v>
      </c>
      <c r="D53">
        <v>13.628898666237088</v>
      </c>
      <c r="E53" t="s">
        <v>95</v>
      </c>
      <c r="F53">
        <v>14</v>
      </c>
    </row>
    <row r="54" spans="1:7">
      <c r="A54" t="s">
        <v>71</v>
      </c>
      <c r="B54" t="s">
        <v>75</v>
      </c>
      <c r="C54">
        <v>12.970901036214407</v>
      </c>
      <c r="D54">
        <v>12.938156445687248</v>
      </c>
      <c r="E54" t="s">
        <v>95</v>
      </c>
      <c r="F54">
        <v>13</v>
      </c>
    </row>
    <row r="55" spans="1:7">
      <c r="A55" t="s">
        <v>71</v>
      </c>
      <c r="B55" t="s">
        <v>76</v>
      </c>
      <c r="C55">
        <v>22.453066921548107</v>
      </c>
      <c r="D55">
        <v>22.291485033640722</v>
      </c>
      <c r="E55" t="s">
        <v>95</v>
      </c>
      <c r="F55">
        <v>22</v>
      </c>
      <c r="G55" s="1"/>
    </row>
    <row r="56" spans="1:7">
      <c r="A56" t="s">
        <v>78</v>
      </c>
      <c r="B56" t="s">
        <v>77</v>
      </c>
      <c r="C56">
        <v>30.449820645618814</v>
      </c>
      <c r="D56">
        <v>30.374589223247984</v>
      </c>
      <c r="E56" t="s">
        <v>95</v>
      </c>
      <c r="F56">
        <v>30</v>
      </c>
      <c r="G56">
        <f>SUM(F56:F59)</f>
        <v>100</v>
      </c>
    </row>
    <row r="57" spans="1:7">
      <c r="A57" t="s">
        <v>78</v>
      </c>
      <c r="B57" t="s">
        <v>79</v>
      </c>
      <c r="C57">
        <v>30.513385006002213</v>
      </c>
      <c r="D57">
        <v>30.626428425795755</v>
      </c>
      <c r="E57" t="s">
        <v>95</v>
      </c>
      <c r="F57">
        <v>31</v>
      </c>
    </row>
    <row r="58" spans="1:7">
      <c r="A58" t="s">
        <v>78</v>
      </c>
      <c r="B58" t="s">
        <v>80</v>
      </c>
      <c r="C58">
        <v>21.163656778798163</v>
      </c>
      <c r="D58">
        <v>21.125646269465985</v>
      </c>
      <c r="E58" t="s">
        <v>95</v>
      </c>
      <c r="F58">
        <v>21</v>
      </c>
    </row>
    <row r="59" spans="1:7">
      <c r="A59" t="s">
        <v>78</v>
      </c>
      <c r="B59" t="s">
        <v>81</v>
      </c>
      <c r="C59">
        <v>17.873137569580813</v>
      </c>
      <c r="D59">
        <v>17.873336081490272</v>
      </c>
      <c r="E59" t="s">
        <v>95</v>
      </c>
      <c r="F59">
        <v>18</v>
      </c>
      <c r="G59" s="1"/>
    </row>
    <row r="60" spans="1:7">
      <c r="A60" t="s">
        <v>83</v>
      </c>
      <c r="B60" t="s">
        <v>82</v>
      </c>
      <c r="C60">
        <v>26.949783370131065</v>
      </c>
      <c r="D60">
        <v>26.811164514010922</v>
      </c>
      <c r="E60" t="s">
        <v>95</v>
      </c>
      <c r="F60">
        <v>27</v>
      </c>
      <c r="G60">
        <f>SUM(F60:F63)</f>
        <v>100</v>
      </c>
    </row>
    <row r="61" spans="1:7">
      <c r="A61" t="s">
        <v>83</v>
      </c>
      <c r="B61" t="s">
        <v>84</v>
      </c>
      <c r="C61">
        <v>16.126930244462176</v>
      </c>
      <c r="D61">
        <v>16.192741218908203</v>
      </c>
      <c r="E61" t="s">
        <v>95</v>
      </c>
      <c r="F61">
        <v>16</v>
      </c>
    </row>
    <row r="62" spans="1:7">
      <c r="A62" t="s">
        <v>83</v>
      </c>
      <c r="B62" t="s">
        <v>85</v>
      </c>
      <c r="C62">
        <v>21.413333979175516</v>
      </c>
      <c r="D62">
        <v>21.556312611510062</v>
      </c>
      <c r="E62" t="s">
        <v>95</v>
      </c>
      <c r="F62">
        <v>22</v>
      </c>
    </row>
    <row r="63" spans="1:7">
      <c r="A63" t="s">
        <v>83</v>
      </c>
      <c r="B63" t="s">
        <v>86</v>
      </c>
      <c r="C63">
        <v>35.509952406231235</v>
      </c>
      <c r="D63">
        <v>35.439781655570812</v>
      </c>
      <c r="E63" t="s">
        <v>95</v>
      </c>
      <c r="F63">
        <v>35</v>
      </c>
      <c r="G63" s="1"/>
    </row>
    <row r="64" spans="1:7">
      <c r="A64" t="s">
        <v>88</v>
      </c>
      <c r="B64" t="s">
        <v>87</v>
      </c>
      <c r="C64">
        <v>100</v>
      </c>
      <c r="D64">
        <v>100</v>
      </c>
      <c r="E64" t="s">
        <v>95</v>
      </c>
      <c r="G64" s="2">
        <f>100</f>
        <v>100</v>
      </c>
    </row>
    <row r="65" spans="1:7">
      <c r="A65" t="s">
        <v>90</v>
      </c>
      <c r="B65" t="s">
        <v>89</v>
      </c>
      <c r="C65">
        <v>31.526536425605258</v>
      </c>
      <c r="D65">
        <v>31.599352347269022</v>
      </c>
      <c r="E65" t="s">
        <v>95</v>
      </c>
      <c r="F65">
        <v>32</v>
      </c>
      <c r="G65">
        <f>SUM(F65:F66)</f>
        <v>100</v>
      </c>
    </row>
    <row r="66" spans="1:7">
      <c r="A66" t="s">
        <v>90</v>
      </c>
      <c r="B66" t="s">
        <v>91</v>
      </c>
      <c r="C66">
        <v>68.473463574394742</v>
      </c>
      <c r="D66">
        <v>68.400647652730981</v>
      </c>
      <c r="E66" t="s">
        <v>95</v>
      </c>
      <c r="F66">
        <v>68</v>
      </c>
      <c r="G66" s="1"/>
    </row>
  </sheetData>
  <conditionalFormatting sqref="E1:E1048576">
    <cfRule type="containsText" dxfId="5" priority="2" operator="containsText" text="N">
      <formula>NOT(ISERROR(SEARCH("N",E1)))</formula>
    </cfRule>
    <cfRule type="containsText" dxfId="4" priority="3" operator="containsText" text="Y">
      <formula>NOT(ISERROR(SEARCH("Y",E1)))</formula>
    </cfRule>
  </conditionalFormatting>
  <conditionalFormatting sqref="G1:G1048576">
    <cfRule type="cellIs" dxfId="3" priority="1" operator="equal">
      <formula>100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6E59-1493-41E6-96A0-FB9FF1432042}">
  <dimension ref="A1:I66"/>
  <sheetViews>
    <sheetView workbookViewId="0">
      <selection activeCell="G4" sqref="G4"/>
    </sheetView>
  </sheetViews>
  <sheetFormatPr defaultRowHeight="14.45"/>
  <sheetData>
    <row r="1" spans="1:9">
      <c r="A1" s="4" t="s">
        <v>92</v>
      </c>
    </row>
    <row r="2" spans="1:9" s="4" customFormat="1">
      <c r="C2" s="4">
        <v>11</v>
      </c>
      <c r="D2" s="4">
        <v>217</v>
      </c>
      <c r="F2" s="4" t="s">
        <v>93</v>
      </c>
      <c r="G2" s="4" t="s">
        <v>94</v>
      </c>
    </row>
    <row r="3" spans="1:9">
      <c r="A3" t="s">
        <v>8</v>
      </c>
      <c r="B3" t="s">
        <v>7</v>
      </c>
      <c r="D3">
        <v>0.71220791488942692</v>
      </c>
      <c r="F3">
        <v>71</v>
      </c>
      <c r="G3">
        <f>SUM(F3:F5)</f>
        <v>100</v>
      </c>
    </row>
    <row r="4" spans="1:9">
      <c r="A4" t="s">
        <v>8</v>
      </c>
      <c r="B4" t="s">
        <v>9</v>
      </c>
      <c r="D4">
        <v>0.13566999736845006</v>
      </c>
      <c r="F4">
        <v>14</v>
      </c>
    </row>
    <row r="5" spans="1:9">
      <c r="A5" t="s">
        <v>8</v>
      </c>
      <c r="B5" t="s">
        <v>10</v>
      </c>
      <c r="D5">
        <v>0.15212208774212307</v>
      </c>
      <c r="F5">
        <v>15</v>
      </c>
    </row>
    <row r="6" spans="1:9">
      <c r="A6" t="s">
        <v>12</v>
      </c>
      <c r="B6" t="s">
        <v>11</v>
      </c>
      <c r="C6">
        <v>35.24416131748125</v>
      </c>
      <c r="D6">
        <v>35.211704190106104</v>
      </c>
      <c r="E6" t="s">
        <v>95</v>
      </c>
      <c r="F6">
        <v>35</v>
      </c>
      <c r="G6">
        <f>SUM(F6:F9)</f>
        <v>100</v>
      </c>
      <c r="I6">
        <f>SUM(D6:D9)</f>
        <v>100</v>
      </c>
    </row>
    <row r="7" spans="1:9">
      <c r="A7" t="s">
        <v>12</v>
      </c>
      <c r="B7" t="s">
        <v>13</v>
      </c>
      <c r="C7">
        <v>18.002696086780901</v>
      </c>
      <c r="D7">
        <v>18.069894319844192</v>
      </c>
      <c r="E7" t="s">
        <v>95</v>
      </c>
      <c r="F7">
        <v>18</v>
      </c>
    </row>
    <row r="8" spans="1:9">
      <c r="A8" t="s">
        <v>12</v>
      </c>
      <c r="B8" t="s">
        <v>14</v>
      </c>
      <c r="C8">
        <v>13.467352530379642</v>
      </c>
      <c r="D8">
        <v>13.486526840829979</v>
      </c>
      <c r="E8" t="s">
        <v>95</v>
      </c>
      <c r="F8">
        <v>14</v>
      </c>
    </row>
    <row r="9" spans="1:9" s="1" customFormat="1">
      <c r="A9" s="1" t="s">
        <v>12</v>
      </c>
      <c r="B9" s="1" t="s">
        <v>15</v>
      </c>
      <c r="C9" s="1">
        <v>33.285790065358199</v>
      </c>
      <c r="D9" s="1">
        <v>33.231874649219726</v>
      </c>
      <c r="E9" s="1" t="s">
        <v>95</v>
      </c>
      <c r="F9" s="1">
        <v>33</v>
      </c>
    </row>
    <row r="10" spans="1:9">
      <c r="A10" t="s">
        <v>17</v>
      </c>
      <c r="B10" t="s">
        <v>16</v>
      </c>
      <c r="C10">
        <v>23.409277034807584</v>
      </c>
      <c r="D10">
        <v>23.428998052595581</v>
      </c>
      <c r="E10" t="s">
        <v>95</v>
      </c>
      <c r="F10">
        <v>23</v>
      </c>
      <c r="G10">
        <f>SUM(F10:F11)</f>
        <v>100</v>
      </c>
    </row>
    <row r="11" spans="1:9" s="1" customFormat="1">
      <c r="A11" s="1" t="s">
        <v>17</v>
      </c>
      <c r="B11" s="1" t="s">
        <v>18</v>
      </c>
      <c r="C11" s="1">
        <v>76.590722965192413</v>
      </c>
      <c r="D11" s="1">
        <v>76.571001947404412</v>
      </c>
      <c r="E11" s="1" t="s">
        <v>95</v>
      </c>
      <c r="F11" s="1">
        <v>77</v>
      </c>
    </row>
    <row r="12" spans="1:9">
      <c r="A12" t="s">
        <v>20</v>
      </c>
      <c r="B12" t="s">
        <v>19</v>
      </c>
      <c r="C12">
        <v>12.396512042654335</v>
      </c>
      <c r="D12">
        <v>12.298600392292746</v>
      </c>
      <c r="E12" t="s">
        <v>95</v>
      </c>
      <c r="F12">
        <v>12</v>
      </c>
      <c r="G12">
        <f>SUM(F12:F13)</f>
        <v>100</v>
      </c>
    </row>
    <row r="13" spans="1:9" s="1" customFormat="1">
      <c r="A13" s="1" t="s">
        <v>20</v>
      </c>
      <c r="B13" s="1" t="s">
        <v>21</v>
      </c>
      <c r="C13" s="1">
        <v>87.603487957345678</v>
      </c>
      <c r="D13" s="1">
        <v>87.701399607707259</v>
      </c>
      <c r="E13" s="1" t="s">
        <v>95</v>
      </c>
      <c r="F13" s="1">
        <v>88</v>
      </c>
    </row>
    <row r="14" spans="1:9">
      <c r="A14" t="s">
        <v>23</v>
      </c>
      <c r="B14" t="s">
        <v>22</v>
      </c>
      <c r="C14">
        <v>84.865162878249947</v>
      </c>
      <c r="D14">
        <v>84.891598885222109</v>
      </c>
      <c r="E14" t="s">
        <v>95</v>
      </c>
      <c r="F14">
        <v>85</v>
      </c>
      <c r="G14">
        <f>SUM(F14:F15)</f>
        <v>100</v>
      </c>
    </row>
    <row r="15" spans="1:9" s="1" customFormat="1">
      <c r="A15" s="1" t="s">
        <v>23</v>
      </c>
      <c r="B15" s="1" t="s">
        <v>24</v>
      </c>
      <c r="C15" s="1">
        <v>15.134837121750053</v>
      </c>
      <c r="D15" s="1">
        <v>15.108401114777891</v>
      </c>
      <c r="E15" s="1" t="s">
        <v>95</v>
      </c>
      <c r="F15" s="1">
        <v>15</v>
      </c>
    </row>
    <row r="16" spans="1:9">
      <c r="A16" t="s">
        <v>26</v>
      </c>
      <c r="B16" t="s">
        <v>25</v>
      </c>
      <c r="C16">
        <v>23.434853018265965</v>
      </c>
      <c r="D16">
        <v>23.432196579337994</v>
      </c>
      <c r="E16" t="s">
        <v>95</v>
      </c>
      <c r="F16">
        <v>23</v>
      </c>
      <c r="G16">
        <f>SUM(F16:F17)</f>
        <v>100</v>
      </c>
    </row>
    <row r="17" spans="1:9" s="1" customFormat="1">
      <c r="A17" s="1" t="s">
        <v>26</v>
      </c>
      <c r="B17" s="1" t="s">
        <v>27</v>
      </c>
      <c r="C17" s="1">
        <v>76.565146981734031</v>
      </c>
      <c r="D17" s="1">
        <v>76.567803420662003</v>
      </c>
      <c r="E17" s="1" t="s">
        <v>95</v>
      </c>
      <c r="F17" s="1">
        <v>77</v>
      </c>
    </row>
    <row r="18" spans="1:9">
      <c r="A18" t="s">
        <v>29</v>
      </c>
      <c r="B18" t="s">
        <v>28</v>
      </c>
      <c r="C18">
        <v>43.733572030365991</v>
      </c>
      <c r="D18">
        <v>43.604663345852977</v>
      </c>
      <c r="E18" t="s">
        <v>95</v>
      </c>
      <c r="F18">
        <v>43</v>
      </c>
      <c r="G18">
        <f>SUM(F18:F21)</f>
        <v>100</v>
      </c>
      <c r="I18">
        <f>SUM(D18:D21)</f>
        <v>100</v>
      </c>
    </row>
    <row r="19" spans="1:9">
      <c r="A19" t="s">
        <v>29</v>
      </c>
      <c r="B19" t="s">
        <v>30</v>
      </c>
      <c r="C19">
        <v>9.7434486709860302</v>
      </c>
      <c r="D19">
        <v>9.8374577129005623</v>
      </c>
      <c r="E19" t="s">
        <v>95</v>
      </c>
      <c r="F19">
        <v>10</v>
      </c>
    </row>
    <row r="20" spans="1:9">
      <c r="A20" t="s">
        <v>29</v>
      </c>
      <c r="B20" t="s">
        <v>31</v>
      </c>
      <c r="C20">
        <v>19.816722902280116</v>
      </c>
      <c r="D20">
        <v>19.833089155856261</v>
      </c>
      <c r="E20" t="s">
        <v>95</v>
      </c>
      <c r="F20">
        <v>20</v>
      </c>
    </row>
    <row r="21" spans="1:9" s="1" customFormat="1">
      <c r="A21" s="1" t="s">
        <v>29</v>
      </c>
      <c r="B21" s="1" t="s">
        <v>32</v>
      </c>
      <c r="C21" s="1">
        <v>26.706256396367866</v>
      </c>
      <c r="D21" s="1">
        <v>26.724789785390197</v>
      </c>
      <c r="E21" s="1" t="s">
        <v>95</v>
      </c>
      <c r="F21" s="1">
        <v>27</v>
      </c>
    </row>
    <row r="22" spans="1:9">
      <c r="A22" t="s">
        <v>34</v>
      </c>
      <c r="B22" t="s">
        <v>33</v>
      </c>
      <c r="C22">
        <v>19.210281776977048</v>
      </c>
      <c r="D22">
        <v>19.351415423665173</v>
      </c>
      <c r="E22" t="s">
        <v>95</v>
      </c>
      <c r="F22">
        <v>19</v>
      </c>
      <c r="G22">
        <f>SUM(F22:F23)</f>
        <v>100</v>
      </c>
    </row>
    <row r="23" spans="1:9" s="1" customFormat="1">
      <c r="A23" s="1" t="s">
        <v>34</v>
      </c>
      <c r="B23" s="1" t="s">
        <v>35</v>
      </c>
      <c r="C23" s="1">
        <v>80.789718223022945</v>
      </c>
      <c r="D23" s="1">
        <v>80.648584576334827</v>
      </c>
      <c r="E23" s="1" t="s">
        <v>95</v>
      </c>
      <c r="F23" s="1">
        <v>81</v>
      </c>
    </row>
    <row r="24" spans="1:9">
      <c r="A24" t="s">
        <v>37</v>
      </c>
      <c r="B24" t="s">
        <v>36</v>
      </c>
      <c r="C24">
        <v>21.805774631732799</v>
      </c>
      <c r="D24">
        <v>21.747627654767282</v>
      </c>
      <c r="E24" t="s">
        <v>95</v>
      </c>
      <c r="F24">
        <v>22</v>
      </c>
      <c r="G24">
        <f>SUM(F24:F26)</f>
        <v>100</v>
      </c>
    </row>
    <row r="25" spans="1:9">
      <c r="A25" t="s">
        <v>37</v>
      </c>
      <c r="B25" t="s">
        <v>38</v>
      </c>
      <c r="C25">
        <v>22.389488271956342</v>
      </c>
      <c r="D25">
        <v>22.434837050394652</v>
      </c>
      <c r="E25" t="s">
        <v>95</v>
      </c>
      <c r="F25">
        <v>22</v>
      </c>
    </row>
    <row r="26" spans="1:9" s="1" customFormat="1">
      <c r="A26" s="1" t="s">
        <v>37</v>
      </c>
      <c r="B26" s="1" t="s">
        <v>39</v>
      </c>
      <c r="C26" s="1">
        <v>55.804737096310852</v>
      </c>
      <c r="D26" s="1">
        <v>55.817535294838059</v>
      </c>
      <c r="E26" s="1" t="s">
        <v>95</v>
      </c>
      <c r="F26" s="1">
        <v>56</v>
      </c>
    </row>
    <row r="27" spans="1:9">
      <c r="A27" t="s">
        <v>41</v>
      </c>
      <c r="B27" t="s">
        <v>40</v>
      </c>
      <c r="C27">
        <v>82.207899587351235</v>
      </c>
      <c r="D27">
        <v>82.185989655974524</v>
      </c>
      <c r="E27" t="s">
        <v>95</v>
      </c>
      <c r="F27">
        <v>82</v>
      </c>
      <c r="G27">
        <f>SUM(F27:F28)</f>
        <v>100</v>
      </c>
    </row>
    <row r="28" spans="1:9" s="1" customFormat="1">
      <c r="A28" s="1" t="s">
        <v>41</v>
      </c>
      <c r="B28" s="1" t="s">
        <v>42</v>
      </c>
      <c r="C28" s="1">
        <v>17.792100412648754</v>
      </c>
      <c r="D28" s="1">
        <v>17.81401034402548</v>
      </c>
      <c r="E28" s="1" t="s">
        <v>95</v>
      </c>
      <c r="F28" s="1">
        <v>18</v>
      </c>
    </row>
    <row r="29" spans="1:9">
      <c r="A29" t="s">
        <v>44</v>
      </c>
      <c r="B29" t="s">
        <v>43</v>
      </c>
      <c r="C29">
        <v>9.2878640269034491</v>
      </c>
      <c r="D29">
        <v>9.3375711293441412</v>
      </c>
      <c r="E29" t="s">
        <v>95</v>
      </c>
      <c r="F29">
        <v>10</v>
      </c>
      <c r="G29">
        <f>SUM(F29:F34)</f>
        <v>100</v>
      </c>
      <c r="I29">
        <f>SUM(D29:D34)</f>
        <v>100</v>
      </c>
    </row>
    <row r="30" spans="1:9">
      <c r="A30" t="s">
        <v>44</v>
      </c>
      <c r="B30" t="s">
        <v>45</v>
      </c>
      <c r="C30">
        <v>8.1291218201196696</v>
      </c>
      <c r="D30">
        <v>8.2137538943551665</v>
      </c>
      <c r="E30" t="s">
        <v>95</v>
      </c>
      <c r="F30">
        <v>8</v>
      </c>
    </row>
    <row r="31" spans="1:9">
      <c r="A31" t="s">
        <v>44</v>
      </c>
      <c r="B31" t="s">
        <v>46</v>
      </c>
      <c r="C31">
        <v>4.2847956076461564</v>
      </c>
      <c r="D31">
        <v>4.2963003940245068</v>
      </c>
      <c r="E31" t="s">
        <v>95</v>
      </c>
      <c r="F31">
        <v>4</v>
      </c>
    </row>
    <row r="32" spans="1:9">
      <c r="A32" t="s">
        <v>44</v>
      </c>
      <c r="B32" t="s">
        <v>47</v>
      </c>
      <c r="C32">
        <v>15.349041371873792</v>
      </c>
      <c r="D32">
        <v>15.283242517431878</v>
      </c>
      <c r="E32" t="s">
        <v>95</v>
      </c>
      <c r="F32">
        <v>15</v>
      </c>
    </row>
    <row r="33" spans="1:7">
      <c r="A33" t="s">
        <v>44</v>
      </c>
      <c r="B33" t="s">
        <v>48</v>
      </c>
      <c r="C33">
        <v>47.749032393589466</v>
      </c>
      <c r="D33">
        <v>47.681833383204555</v>
      </c>
      <c r="E33" t="s">
        <v>95</v>
      </c>
      <c r="F33">
        <v>48</v>
      </c>
    </row>
    <row r="34" spans="1:7" s="1" customFormat="1">
      <c r="A34" s="1" t="s">
        <v>44</v>
      </c>
      <c r="B34" s="1" t="s">
        <v>49</v>
      </c>
      <c r="C34" s="1">
        <v>15.200144779867465</v>
      </c>
      <c r="D34" s="1">
        <v>15.187298681639765</v>
      </c>
      <c r="E34" s="1" t="s">
        <v>95</v>
      </c>
      <c r="F34" s="1">
        <v>15</v>
      </c>
    </row>
    <row r="35" spans="1:7" s="2" customFormat="1">
      <c r="A35" s="2" t="s">
        <v>51</v>
      </c>
      <c r="B35" s="2" t="s">
        <v>50</v>
      </c>
      <c r="C35" s="2">
        <v>100</v>
      </c>
      <c r="D35" s="2">
        <v>100</v>
      </c>
      <c r="E35" s="2" t="s">
        <v>95</v>
      </c>
      <c r="F35" s="2">
        <v>100</v>
      </c>
      <c r="G35" s="2">
        <v>100</v>
      </c>
    </row>
    <row r="36" spans="1:7">
      <c r="A36" t="s">
        <v>53</v>
      </c>
      <c r="B36" t="s">
        <v>52</v>
      </c>
      <c r="C36">
        <v>17.347268032560855</v>
      </c>
      <c r="D36">
        <v>17.456156327358904</v>
      </c>
      <c r="E36" t="s">
        <v>95</v>
      </c>
      <c r="F36">
        <v>17</v>
      </c>
      <c r="G36">
        <f>SUM(F36:F37)</f>
        <v>100</v>
      </c>
    </row>
    <row r="37" spans="1:7" s="1" customFormat="1">
      <c r="A37" s="1" t="s">
        <v>53</v>
      </c>
      <c r="B37" s="1" t="s">
        <v>54</v>
      </c>
      <c r="C37" s="1">
        <v>82.652731967439152</v>
      </c>
      <c r="D37" s="1">
        <v>82.543843672641088</v>
      </c>
      <c r="E37" s="1" t="s">
        <v>95</v>
      </c>
      <c r="F37" s="1">
        <v>83</v>
      </c>
    </row>
    <row r="38" spans="1:7">
      <c r="A38" t="s">
        <v>56</v>
      </c>
      <c r="B38" t="s">
        <v>55</v>
      </c>
      <c r="C38">
        <v>29.177263682252203</v>
      </c>
      <c r="D38">
        <v>29.139986415106872</v>
      </c>
      <c r="E38" t="s">
        <v>95</v>
      </c>
      <c r="F38">
        <v>29</v>
      </c>
      <c r="G38">
        <f>SUM(F38:F41)</f>
        <v>100</v>
      </c>
    </row>
    <row r="39" spans="1:7">
      <c r="A39" t="s">
        <v>56</v>
      </c>
      <c r="B39" t="s">
        <v>57</v>
      </c>
      <c r="C39">
        <v>21.993162866976181</v>
      </c>
      <c r="D39">
        <v>22.010822989623819</v>
      </c>
      <c r="E39" t="s">
        <v>95</v>
      </c>
      <c r="F39">
        <v>22</v>
      </c>
    </row>
    <row r="40" spans="1:7">
      <c r="A40" t="s">
        <v>56</v>
      </c>
      <c r="B40" t="s">
        <v>58</v>
      </c>
      <c r="C40">
        <v>14.326108441687049</v>
      </c>
      <c r="D40">
        <v>14.350789090871801</v>
      </c>
      <c r="E40" t="s">
        <v>95</v>
      </c>
      <c r="F40">
        <v>14</v>
      </c>
    </row>
    <row r="41" spans="1:7" s="1" customFormat="1">
      <c r="A41" s="1" t="s">
        <v>56</v>
      </c>
      <c r="B41" s="1" t="s">
        <v>59</v>
      </c>
      <c r="C41" s="1">
        <v>34.503465009084557</v>
      </c>
      <c r="D41" s="1">
        <v>34.498401504397513</v>
      </c>
      <c r="E41" s="1" t="s">
        <v>95</v>
      </c>
      <c r="F41" s="1">
        <v>35</v>
      </c>
    </row>
    <row r="42" spans="1:7">
      <c r="A42" t="s">
        <v>61</v>
      </c>
      <c r="B42" t="s">
        <v>60</v>
      </c>
      <c r="C42">
        <v>86.800947519676541</v>
      </c>
      <c r="D42">
        <v>86.699201293355287</v>
      </c>
      <c r="E42" t="s">
        <v>95</v>
      </c>
      <c r="F42">
        <v>87</v>
      </c>
      <c r="G42">
        <f>SUM(F42:F43)</f>
        <v>100</v>
      </c>
    </row>
    <row r="43" spans="1:7" s="1" customFormat="1">
      <c r="A43" s="1" t="s">
        <v>61</v>
      </c>
      <c r="B43" s="1" t="s">
        <v>62</v>
      </c>
      <c r="C43" s="1">
        <v>13.199052480323459</v>
      </c>
      <c r="D43" s="1">
        <v>13.300798706644718</v>
      </c>
      <c r="E43" s="1" t="s">
        <v>95</v>
      </c>
      <c r="F43" s="1">
        <v>13</v>
      </c>
    </row>
    <row r="44" spans="1:7">
      <c r="A44" t="s">
        <v>64</v>
      </c>
      <c r="B44" t="s">
        <v>63</v>
      </c>
      <c r="C44">
        <v>18.77531607880908</v>
      </c>
      <c r="D44">
        <v>18.486610512145095</v>
      </c>
      <c r="E44" t="s">
        <v>95</v>
      </c>
      <c r="F44">
        <v>19</v>
      </c>
      <c r="G44">
        <f>SUM(F44:F49)</f>
        <v>100</v>
      </c>
    </row>
    <row r="45" spans="1:7">
      <c r="A45" t="s">
        <v>64</v>
      </c>
      <c r="B45" t="s">
        <v>65</v>
      </c>
      <c r="C45">
        <v>5.3042236644669742</v>
      </c>
      <c r="D45">
        <v>5.2245157469206864</v>
      </c>
      <c r="E45" t="s">
        <v>95</v>
      </c>
      <c r="F45">
        <v>5</v>
      </c>
    </row>
    <row r="46" spans="1:7">
      <c r="A46" t="s">
        <v>64</v>
      </c>
      <c r="B46" t="s">
        <v>66</v>
      </c>
      <c r="C46">
        <v>31.500097430658826</v>
      </c>
      <c r="D46">
        <v>31.457957819077979</v>
      </c>
      <c r="E46" t="s">
        <v>95</v>
      </c>
      <c r="F46">
        <v>31</v>
      </c>
    </row>
    <row r="47" spans="1:7">
      <c r="A47" t="s">
        <v>64</v>
      </c>
      <c r="B47" t="s">
        <v>67</v>
      </c>
      <c r="C47">
        <v>10.688389768301851</v>
      </c>
      <c r="D47">
        <v>10.805224334386004</v>
      </c>
      <c r="E47" t="s">
        <v>95</v>
      </c>
      <c r="F47">
        <v>11</v>
      </c>
    </row>
    <row r="48" spans="1:7">
      <c r="A48" t="s">
        <v>64</v>
      </c>
      <c r="B48" t="s">
        <v>68</v>
      </c>
      <c r="C48">
        <v>15.603461629575124</v>
      </c>
      <c r="D48">
        <v>15.78075745127804</v>
      </c>
      <c r="E48" t="s">
        <v>95</v>
      </c>
      <c r="F48">
        <v>16</v>
      </c>
    </row>
    <row r="49" spans="1:7" s="1" customFormat="1">
      <c r="A49" s="1" t="s">
        <v>64</v>
      </c>
      <c r="B49" s="1" t="s">
        <v>69</v>
      </c>
      <c r="C49" s="1">
        <v>18.128511428188158</v>
      </c>
      <c r="D49" s="1">
        <v>18.244934136192203</v>
      </c>
      <c r="E49" s="1" t="s">
        <v>95</v>
      </c>
      <c r="F49" s="1">
        <v>18</v>
      </c>
    </row>
    <row r="50" spans="1:7">
      <c r="A50" t="s">
        <v>71</v>
      </c>
      <c r="B50" t="s">
        <v>70</v>
      </c>
      <c r="C50">
        <v>6.5436351008490306</v>
      </c>
      <c r="D50">
        <v>6.4970274655799756</v>
      </c>
      <c r="E50" t="s">
        <v>95</v>
      </c>
      <c r="F50">
        <v>7</v>
      </c>
      <c r="G50">
        <f>SUM(F50:F55)</f>
        <v>100</v>
      </c>
    </row>
    <row r="51" spans="1:7">
      <c r="A51" t="s">
        <v>71</v>
      </c>
      <c r="B51" t="s">
        <v>72</v>
      </c>
      <c r="C51">
        <v>23.154581634404742</v>
      </c>
      <c r="D51">
        <v>23.257487719599716</v>
      </c>
      <c r="E51" t="s">
        <v>95</v>
      </c>
      <c r="F51">
        <v>23</v>
      </c>
    </row>
    <row r="52" spans="1:7">
      <c r="A52" t="s">
        <v>71</v>
      </c>
      <c r="B52" t="s">
        <v>73</v>
      </c>
      <c r="C52">
        <v>13.3472082449418</v>
      </c>
      <c r="D52">
        <v>13.324175086557435</v>
      </c>
      <c r="E52" t="s">
        <v>95</v>
      </c>
      <c r="F52">
        <v>13</v>
      </c>
    </row>
    <row r="53" spans="1:7">
      <c r="A53" t="s">
        <v>71</v>
      </c>
      <c r="B53" t="s">
        <v>74</v>
      </c>
      <c r="C53">
        <v>10.08780094462792</v>
      </c>
      <c r="D53">
        <v>10.11719881471355</v>
      </c>
      <c r="E53" t="s">
        <v>95</v>
      </c>
      <c r="F53">
        <v>10</v>
      </c>
    </row>
    <row r="54" spans="1:7">
      <c r="A54" t="s">
        <v>71</v>
      </c>
      <c r="B54" t="s">
        <v>75</v>
      </c>
      <c r="C54">
        <v>26.61137175786153</v>
      </c>
      <c r="D54">
        <v>26.550871386438317</v>
      </c>
      <c r="E54" t="s">
        <v>95</v>
      </c>
      <c r="F54">
        <v>27</v>
      </c>
    </row>
    <row r="55" spans="1:7" s="1" customFormat="1">
      <c r="A55" s="1" t="s">
        <v>71</v>
      </c>
      <c r="B55" s="1" t="s">
        <v>76</v>
      </c>
      <c r="C55" s="1">
        <v>20.255402317314978</v>
      </c>
      <c r="D55" s="1">
        <v>20.253239527111013</v>
      </c>
      <c r="E55" s="1" t="s">
        <v>95</v>
      </c>
      <c r="F55" s="1">
        <v>20</v>
      </c>
    </row>
    <row r="56" spans="1:7">
      <c r="A56" t="s">
        <v>78</v>
      </c>
      <c r="B56" t="s">
        <v>77</v>
      </c>
      <c r="C56">
        <v>28.314323741004422</v>
      </c>
      <c r="D56">
        <v>28.339179793274639</v>
      </c>
      <c r="E56" t="s">
        <v>95</v>
      </c>
      <c r="F56">
        <v>29</v>
      </c>
      <c r="G56">
        <f>SUM(F56:F59)</f>
        <v>100</v>
      </c>
    </row>
    <row r="57" spans="1:7">
      <c r="A57" t="s">
        <v>78</v>
      </c>
      <c r="B57" t="s">
        <v>79</v>
      </c>
      <c r="C57">
        <v>24.276214772569844</v>
      </c>
      <c r="D57">
        <v>24.226093335653758</v>
      </c>
      <c r="E57" t="s">
        <v>95</v>
      </c>
      <c r="F57">
        <v>24</v>
      </c>
    </row>
    <row r="58" spans="1:7">
      <c r="A58" t="s">
        <v>78</v>
      </c>
      <c r="B58" t="s">
        <v>80</v>
      </c>
      <c r="C58">
        <v>11.255431886335284</v>
      </c>
      <c r="D58">
        <v>11.277142289269099</v>
      </c>
      <c r="E58" t="s">
        <v>95</v>
      </c>
      <c r="F58">
        <v>11</v>
      </c>
    </row>
    <row r="59" spans="1:7" s="1" customFormat="1">
      <c r="A59" s="1" t="s">
        <v>78</v>
      </c>
      <c r="B59" s="1" t="s">
        <v>81</v>
      </c>
      <c r="C59" s="1">
        <v>36.154029600090453</v>
      </c>
      <c r="D59" s="1">
        <v>36.157584581802503</v>
      </c>
      <c r="E59" s="1" t="s">
        <v>95</v>
      </c>
      <c r="F59" s="1">
        <v>36</v>
      </c>
    </row>
    <row r="60" spans="1:7">
      <c r="A60" t="s">
        <v>83</v>
      </c>
      <c r="B60" t="s">
        <v>82</v>
      </c>
      <c r="C60">
        <v>31.288510140987093</v>
      </c>
      <c r="D60">
        <v>31.152468026572393</v>
      </c>
      <c r="E60" t="s">
        <v>95</v>
      </c>
      <c r="F60">
        <v>31</v>
      </c>
      <c r="G60">
        <f>SUM(F60:F63)</f>
        <v>100</v>
      </c>
    </row>
    <row r="61" spans="1:7">
      <c r="A61" t="s">
        <v>83</v>
      </c>
      <c r="B61" t="s">
        <v>84</v>
      </c>
      <c r="C61">
        <v>14.555280262848871</v>
      </c>
      <c r="D61">
        <v>14.600789573763453</v>
      </c>
      <c r="E61" t="s">
        <v>95</v>
      </c>
      <c r="F61">
        <v>15</v>
      </c>
    </row>
    <row r="62" spans="1:7">
      <c r="A62" t="s">
        <v>83</v>
      </c>
      <c r="B62" t="s">
        <v>85</v>
      </c>
      <c r="C62">
        <v>20.413911624361454</v>
      </c>
      <c r="D62">
        <v>20.555594796139843</v>
      </c>
      <c r="E62" t="s">
        <v>95</v>
      </c>
      <c r="F62">
        <v>20</v>
      </c>
    </row>
    <row r="63" spans="1:7" s="1" customFormat="1">
      <c r="A63" s="1" t="s">
        <v>83</v>
      </c>
      <c r="B63" s="1" t="s">
        <v>86</v>
      </c>
      <c r="C63" s="1">
        <v>33.742297971802586</v>
      </c>
      <c r="D63" s="1">
        <v>33.691147603524314</v>
      </c>
      <c r="E63" s="1" t="s">
        <v>95</v>
      </c>
      <c r="F63" s="1">
        <v>34</v>
      </c>
    </row>
    <row r="64" spans="1:7" s="2" customFormat="1">
      <c r="A64" s="2" t="s">
        <v>88</v>
      </c>
      <c r="B64" s="2" t="s">
        <v>87</v>
      </c>
      <c r="C64" s="2">
        <v>100</v>
      </c>
      <c r="D64" s="2">
        <v>100</v>
      </c>
      <c r="E64" s="2" t="s">
        <v>95</v>
      </c>
      <c r="F64" s="2">
        <v>100</v>
      </c>
      <c r="G64" s="2">
        <f>100</f>
        <v>100</v>
      </c>
    </row>
    <row r="65" spans="1:7">
      <c r="A65" t="s">
        <v>90</v>
      </c>
      <c r="B65" t="s">
        <v>89</v>
      </c>
      <c r="C65">
        <v>14.338225997073279</v>
      </c>
      <c r="D65">
        <v>14.352429939017641</v>
      </c>
      <c r="E65" t="s">
        <v>95</v>
      </c>
      <c r="F65">
        <v>14</v>
      </c>
      <c r="G65">
        <f>SUM(F65:F66)</f>
        <v>100</v>
      </c>
    </row>
    <row r="66" spans="1:7" s="1" customFormat="1">
      <c r="A66" s="1" t="s">
        <v>90</v>
      </c>
      <c r="B66" s="1" t="s">
        <v>91</v>
      </c>
      <c r="C66" s="1">
        <v>85.661774002926734</v>
      </c>
      <c r="D66" s="1">
        <v>85.647570060982375</v>
      </c>
      <c r="E66" s="1" t="s">
        <v>95</v>
      </c>
      <c r="F66" s="1">
        <v>86</v>
      </c>
    </row>
  </sheetData>
  <conditionalFormatting sqref="E1:E1048576">
    <cfRule type="containsText" dxfId="2" priority="2" operator="containsText" text="y">
      <formula>NOT(ISERROR(SEARCH("y",E1)))</formula>
    </cfRule>
    <cfRule type="containsText" dxfId="1" priority="3" operator="containsText" text="n">
      <formula>NOT(ISERROR(SEARCH("n",E1)))</formula>
    </cfRule>
  </conditionalFormatting>
  <conditionalFormatting sqref="G1:G1048576">
    <cfRule type="cellIs" dxfId="0" priority="1" operator="equal">
      <formula>100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F8D0-7145-4903-AE77-DBD212D8C235}">
  <dimension ref="A1:D66"/>
  <sheetViews>
    <sheetView topLeftCell="A13" workbookViewId="0">
      <selection activeCell="H59" sqref="H59"/>
    </sheetView>
  </sheetViews>
  <sheetFormatPr defaultRowHeight="14.45"/>
  <sheetData>
    <row r="1" spans="1:4">
      <c r="A1" s="4" t="s">
        <v>92</v>
      </c>
    </row>
    <row r="2" spans="1:4">
      <c r="A2" s="4"/>
      <c r="B2" s="4"/>
      <c r="C2" s="4" t="s">
        <v>96</v>
      </c>
      <c r="D2" s="4">
        <v>7</v>
      </c>
    </row>
    <row r="3" spans="1:4">
      <c r="A3" t="s">
        <v>8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8</v>
      </c>
      <c r="B5" t="s">
        <v>10</v>
      </c>
    </row>
    <row r="6" spans="1:4">
      <c r="A6" t="s">
        <v>12</v>
      </c>
      <c r="B6" t="s">
        <v>11</v>
      </c>
      <c r="C6">
        <v>43</v>
      </c>
      <c r="D6">
        <v>35</v>
      </c>
    </row>
    <row r="7" spans="1:4">
      <c r="A7" t="s">
        <v>12</v>
      </c>
      <c r="B7" t="s">
        <v>13</v>
      </c>
      <c r="C7">
        <v>18</v>
      </c>
      <c r="D7">
        <v>18</v>
      </c>
    </row>
    <row r="8" spans="1:4">
      <c r="A8" t="s">
        <v>12</v>
      </c>
      <c r="B8" t="s">
        <v>14</v>
      </c>
      <c r="C8">
        <v>17</v>
      </c>
      <c r="D8">
        <v>14</v>
      </c>
    </row>
    <row r="9" spans="1:4">
      <c r="A9" s="1" t="s">
        <v>12</v>
      </c>
      <c r="B9" s="1" t="s">
        <v>15</v>
      </c>
      <c r="C9">
        <v>22</v>
      </c>
      <c r="D9">
        <v>33</v>
      </c>
    </row>
    <row r="10" spans="1:4">
      <c r="A10" t="s">
        <v>17</v>
      </c>
      <c r="B10" t="s">
        <v>16</v>
      </c>
      <c r="C10">
        <v>38</v>
      </c>
      <c r="D10">
        <v>23</v>
      </c>
    </row>
    <row r="11" spans="1:4">
      <c r="A11" s="1" t="s">
        <v>17</v>
      </c>
      <c r="B11" s="1" t="s">
        <v>18</v>
      </c>
      <c r="C11">
        <v>62</v>
      </c>
      <c r="D11">
        <v>77</v>
      </c>
    </row>
    <row r="12" spans="1:4">
      <c r="A12" t="s">
        <v>20</v>
      </c>
      <c r="B12" t="s">
        <v>19</v>
      </c>
      <c r="C12">
        <v>23</v>
      </c>
      <c r="D12">
        <v>12</v>
      </c>
    </row>
    <row r="13" spans="1:4">
      <c r="A13" s="1" t="s">
        <v>20</v>
      </c>
      <c r="B13" s="1" t="s">
        <v>21</v>
      </c>
      <c r="C13">
        <v>77</v>
      </c>
      <c r="D13">
        <v>82</v>
      </c>
    </row>
    <row r="14" spans="1:4">
      <c r="A14" t="s">
        <v>23</v>
      </c>
      <c r="B14" t="s">
        <v>22</v>
      </c>
      <c r="C14">
        <v>74</v>
      </c>
      <c r="D14">
        <v>85</v>
      </c>
    </row>
    <row r="15" spans="1:4">
      <c r="A15" s="1" t="s">
        <v>23</v>
      </c>
      <c r="B15" s="1" t="s">
        <v>24</v>
      </c>
      <c r="C15">
        <v>26</v>
      </c>
      <c r="D15">
        <v>15</v>
      </c>
    </row>
    <row r="16" spans="1:4">
      <c r="A16" t="s">
        <v>26</v>
      </c>
      <c r="B16" t="s">
        <v>25</v>
      </c>
      <c r="C16">
        <v>37</v>
      </c>
      <c r="D16">
        <v>23</v>
      </c>
    </row>
    <row r="17" spans="1:4">
      <c r="A17" s="1" t="s">
        <v>26</v>
      </c>
      <c r="B17" s="1" t="s">
        <v>27</v>
      </c>
      <c r="C17">
        <v>63</v>
      </c>
      <c r="D17">
        <v>77</v>
      </c>
    </row>
    <row r="18" spans="1:4">
      <c r="A18" t="s">
        <v>29</v>
      </c>
      <c r="B18" t="s">
        <v>28</v>
      </c>
      <c r="C18">
        <v>42</v>
      </c>
      <c r="D18">
        <v>43</v>
      </c>
    </row>
    <row r="19" spans="1:4">
      <c r="A19" t="s">
        <v>29</v>
      </c>
      <c r="B19" t="s">
        <v>30</v>
      </c>
      <c r="C19">
        <v>12</v>
      </c>
      <c r="D19">
        <v>10</v>
      </c>
    </row>
    <row r="20" spans="1:4">
      <c r="A20" t="s">
        <v>29</v>
      </c>
      <c r="B20" t="s">
        <v>31</v>
      </c>
      <c r="C20">
        <v>13</v>
      </c>
      <c r="D20">
        <v>20</v>
      </c>
    </row>
    <row r="21" spans="1:4">
      <c r="A21" s="1" t="s">
        <v>29</v>
      </c>
      <c r="B21" s="1" t="s">
        <v>32</v>
      </c>
      <c r="C21">
        <v>33</v>
      </c>
      <c r="D21">
        <v>27</v>
      </c>
    </row>
    <row r="22" spans="1:4">
      <c r="A22" t="s">
        <v>34</v>
      </c>
      <c r="B22" t="s">
        <v>33</v>
      </c>
      <c r="C22">
        <v>31</v>
      </c>
      <c r="D22">
        <v>19</v>
      </c>
    </row>
    <row r="23" spans="1:4">
      <c r="A23" s="1" t="s">
        <v>34</v>
      </c>
      <c r="B23" s="1" t="s">
        <v>35</v>
      </c>
      <c r="C23">
        <v>69</v>
      </c>
      <c r="D23">
        <v>81</v>
      </c>
    </row>
    <row r="24" spans="1:4">
      <c r="A24" t="s">
        <v>37</v>
      </c>
      <c r="B24" t="s">
        <v>36</v>
      </c>
      <c r="C24">
        <v>20</v>
      </c>
      <c r="D24">
        <v>22</v>
      </c>
    </row>
    <row r="25" spans="1:4">
      <c r="A25" t="s">
        <v>37</v>
      </c>
      <c r="B25" t="s">
        <v>38</v>
      </c>
      <c r="C25">
        <v>30</v>
      </c>
      <c r="D25">
        <v>22</v>
      </c>
    </row>
    <row r="26" spans="1:4">
      <c r="A26" s="1" t="s">
        <v>37</v>
      </c>
      <c r="B26" s="1" t="s">
        <v>39</v>
      </c>
      <c r="C26">
        <v>50</v>
      </c>
      <c r="D26">
        <v>56</v>
      </c>
    </row>
    <row r="27" spans="1:4">
      <c r="A27" t="s">
        <v>41</v>
      </c>
      <c r="B27" t="s">
        <v>40</v>
      </c>
      <c r="C27">
        <v>71</v>
      </c>
      <c r="D27">
        <v>82</v>
      </c>
    </row>
    <row r="28" spans="1:4">
      <c r="A28" s="1" t="s">
        <v>41</v>
      </c>
      <c r="B28" s="1" t="s">
        <v>42</v>
      </c>
      <c r="C28">
        <v>29</v>
      </c>
      <c r="D28">
        <v>18</v>
      </c>
    </row>
    <row r="29" spans="1:4">
      <c r="A29" t="s">
        <v>44</v>
      </c>
      <c r="B29" t="s">
        <v>43</v>
      </c>
      <c r="C29">
        <v>10</v>
      </c>
      <c r="D29">
        <v>10</v>
      </c>
    </row>
    <row r="30" spans="1:4">
      <c r="A30" t="s">
        <v>44</v>
      </c>
      <c r="B30" t="s">
        <v>45</v>
      </c>
      <c r="C30">
        <v>16</v>
      </c>
      <c r="D30">
        <v>8</v>
      </c>
    </row>
    <row r="31" spans="1:4">
      <c r="A31" t="s">
        <v>44</v>
      </c>
      <c r="B31" t="s">
        <v>46</v>
      </c>
      <c r="C31">
        <v>12</v>
      </c>
      <c r="D31">
        <v>4</v>
      </c>
    </row>
    <row r="32" spans="1:4">
      <c r="A32" t="s">
        <v>44</v>
      </c>
      <c r="B32" t="s">
        <v>47</v>
      </c>
      <c r="C32">
        <v>23</v>
      </c>
      <c r="D32">
        <v>15</v>
      </c>
    </row>
    <row r="33" spans="1:4">
      <c r="A33" t="s">
        <v>44</v>
      </c>
      <c r="B33" t="s">
        <v>48</v>
      </c>
      <c r="C33">
        <v>21</v>
      </c>
      <c r="D33">
        <v>48</v>
      </c>
    </row>
    <row r="34" spans="1:4">
      <c r="A34" s="1" t="s">
        <v>44</v>
      </c>
      <c r="B34" s="1" t="s">
        <v>49</v>
      </c>
      <c r="C34">
        <v>18</v>
      </c>
      <c r="D34">
        <v>15</v>
      </c>
    </row>
    <row r="35" spans="1:4">
      <c r="A35" s="2" t="s">
        <v>51</v>
      </c>
      <c r="B35" s="2" t="s">
        <v>50</v>
      </c>
      <c r="D35">
        <v>100</v>
      </c>
    </row>
    <row r="36" spans="1:4">
      <c r="A36" t="s">
        <v>53</v>
      </c>
      <c r="B36" t="s">
        <v>52</v>
      </c>
      <c r="C36">
        <v>30</v>
      </c>
      <c r="D36">
        <v>17</v>
      </c>
    </row>
    <row r="37" spans="1:4">
      <c r="A37" s="1" t="s">
        <v>53</v>
      </c>
      <c r="B37" s="1" t="s">
        <v>54</v>
      </c>
      <c r="C37">
        <v>70</v>
      </c>
      <c r="D37">
        <v>83</v>
      </c>
    </row>
    <row r="38" spans="1:4">
      <c r="A38" t="s">
        <v>56</v>
      </c>
      <c r="B38" t="s">
        <v>55</v>
      </c>
      <c r="C38">
        <v>26</v>
      </c>
      <c r="D38">
        <v>29</v>
      </c>
    </row>
    <row r="39" spans="1:4">
      <c r="A39" t="s">
        <v>56</v>
      </c>
      <c r="B39" t="s">
        <v>57</v>
      </c>
      <c r="C39">
        <v>26</v>
      </c>
      <c r="D39">
        <v>22</v>
      </c>
    </row>
    <row r="40" spans="1:4">
      <c r="A40" s="9" t="s">
        <v>56</v>
      </c>
      <c r="B40" s="9" t="s">
        <v>58</v>
      </c>
      <c r="C40" s="9">
        <v>26</v>
      </c>
      <c r="D40" s="9">
        <v>14</v>
      </c>
    </row>
    <row r="41" spans="1:4">
      <c r="A41" s="10" t="s">
        <v>56</v>
      </c>
      <c r="B41" s="10" t="s">
        <v>59</v>
      </c>
      <c r="C41" s="9">
        <v>22</v>
      </c>
      <c r="D41" s="9">
        <v>35</v>
      </c>
    </row>
    <row r="42" spans="1:4">
      <c r="A42" t="s">
        <v>61</v>
      </c>
      <c r="B42" t="s">
        <v>60</v>
      </c>
      <c r="C42">
        <v>68</v>
      </c>
      <c r="D42">
        <v>87</v>
      </c>
    </row>
    <row r="43" spans="1:4">
      <c r="A43" s="1" t="s">
        <v>61</v>
      </c>
      <c r="B43" s="1" t="s">
        <v>62</v>
      </c>
      <c r="C43">
        <v>32</v>
      </c>
      <c r="D43">
        <v>13</v>
      </c>
    </row>
    <row r="44" spans="1:4">
      <c r="A44" t="s">
        <v>64</v>
      </c>
      <c r="B44" t="s">
        <v>63</v>
      </c>
      <c r="C44">
        <v>18</v>
      </c>
      <c r="D44">
        <v>19</v>
      </c>
    </row>
    <row r="45" spans="1:4">
      <c r="A45" t="s">
        <v>64</v>
      </c>
      <c r="B45" t="s">
        <v>65</v>
      </c>
      <c r="C45">
        <v>7</v>
      </c>
      <c r="D45">
        <v>5</v>
      </c>
    </row>
    <row r="46" spans="1:4">
      <c r="A46" t="s">
        <v>64</v>
      </c>
      <c r="B46" t="s">
        <v>66</v>
      </c>
      <c r="C46">
        <v>26</v>
      </c>
      <c r="D46">
        <v>31</v>
      </c>
    </row>
    <row r="47" spans="1:4">
      <c r="A47" t="s">
        <v>64</v>
      </c>
      <c r="B47" t="s">
        <v>67</v>
      </c>
      <c r="C47">
        <v>11</v>
      </c>
      <c r="D47">
        <v>11</v>
      </c>
    </row>
    <row r="48" spans="1:4">
      <c r="A48" t="s">
        <v>64</v>
      </c>
      <c r="B48" t="s">
        <v>68</v>
      </c>
      <c r="C48">
        <v>17</v>
      </c>
      <c r="D48">
        <v>16</v>
      </c>
    </row>
    <row r="49" spans="1:4">
      <c r="A49" s="1" t="s">
        <v>64</v>
      </c>
      <c r="B49" s="1" t="s">
        <v>69</v>
      </c>
      <c r="C49">
        <v>21</v>
      </c>
      <c r="D49">
        <v>18</v>
      </c>
    </row>
    <row r="50" spans="1:4">
      <c r="A50" t="s">
        <v>71</v>
      </c>
      <c r="B50" t="s">
        <v>70</v>
      </c>
      <c r="C50">
        <v>14</v>
      </c>
      <c r="D50">
        <v>7</v>
      </c>
    </row>
    <row r="51" spans="1:4">
      <c r="A51" t="s">
        <v>71</v>
      </c>
      <c r="B51" t="s">
        <v>72</v>
      </c>
      <c r="C51">
        <v>21</v>
      </c>
      <c r="D51">
        <v>23</v>
      </c>
    </row>
    <row r="52" spans="1:4">
      <c r="A52" t="s">
        <v>71</v>
      </c>
      <c r="B52" t="s">
        <v>73</v>
      </c>
      <c r="C52">
        <v>16</v>
      </c>
      <c r="D52">
        <v>13</v>
      </c>
    </row>
    <row r="53" spans="1:4">
      <c r="A53" t="s">
        <v>71</v>
      </c>
      <c r="B53" t="s">
        <v>74</v>
      </c>
      <c r="C53">
        <v>14</v>
      </c>
      <c r="D53">
        <v>10</v>
      </c>
    </row>
    <row r="54" spans="1:4">
      <c r="A54" s="9" t="s">
        <v>71</v>
      </c>
      <c r="B54" s="9" t="s">
        <v>75</v>
      </c>
      <c r="C54" s="9">
        <v>13</v>
      </c>
      <c r="D54" s="9">
        <v>27</v>
      </c>
    </row>
    <row r="55" spans="1:4">
      <c r="A55" s="1" t="s">
        <v>71</v>
      </c>
      <c r="B55" s="1" t="s">
        <v>76</v>
      </c>
      <c r="C55">
        <v>22</v>
      </c>
      <c r="D55">
        <v>20</v>
      </c>
    </row>
    <row r="56" spans="1:4">
      <c r="A56" t="s">
        <v>78</v>
      </c>
      <c r="B56" t="s">
        <v>77</v>
      </c>
      <c r="C56">
        <v>30</v>
      </c>
      <c r="D56">
        <v>29</v>
      </c>
    </row>
    <row r="57" spans="1:4">
      <c r="A57" t="s">
        <v>78</v>
      </c>
      <c r="B57" t="s">
        <v>79</v>
      </c>
      <c r="C57">
        <v>31</v>
      </c>
      <c r="D57">
        <v>24</v>
      </c>
    </row>
    <row r="58" spans="1:4">
      <c r="A58" t="s">
        <v>78</v>
      </c>
      <c r="B58" t="s">
        <v>80</v>
      </c>
      <c r="C58">
        <v>21</v>
      </c>
      <c r="D58">
        <v>11</v>
      </c>
    </row>
    <row r="59" spans="1:4">
      <c r="A59" s="10" t="s">
        <v>78</v>
      </c>
      <c r="B59" s="10" t="s">
        <v>81</v>
      </c>
      <c r="C59" s="9">
        <v>18</v>
      </c>
      <c r="D59" s="9">
        <v>36</v>
      </c>
    </row>
    <row r="60" spans="1:4">
      <c r="A60" t="s">
        <v>83</v>
      </c>
      <c r="B60" t="s">
        <v>82</v>
      </c>
      <c r="C60">
        <v>27</v>
      </c>
      <c r="D60">
        <v>31</v>
      </c>
    </row>
    <row r="61" spans="1:4">
      <c r="A61" t="s">
        <v>83</v>
      </c>
      <c r="B61" t="s">
        <v>84</v>
      </c>
      <c r="C61">
        <v>16</v>
      </c>
      <c r="D61">
        <v>15</v>
      </c>
    </row>
    <row r="62" spans="1:4">
      <c r="A62" t="s">
        <v>83</v>
      </c>
      <c r="B62" t="s">
        <v>85</v>
      </c>
      <c r="C62">
        <v>22</v>
      </c>
      <c r="D62">
        <v>20</v>
      </c>
    </row>
    <row r="63" spans="1:4">
      <c r="A63" s="1" t="s">
        <v>83</v>
      </c>
      <c r="B63" s="1" t="s">
        <v>86</v>
      </c>
      <c r="C63">
        <v>35</v>
      </c>
      <c r="D63">
        <v>34</v>
      </c>
    </row>
    <row r="64" spans="1:4">
      <c r="A64" s="2" t="s">
        <v>88</v>
      </c>
      <c r="B64" s="2" t="s">
        <v>87</v>
      </c>
      <c r="D64">
        <v>100</v>
      </c>
    </row>
    <row r="65" spans="1:4">
      <c r="A65" t="s">
        <v>90</v>
      </c>
      <c r="B65" t="s">
        <v>89</v>
      </c>
      <c r="C65">
        <v>32</v>
      </c>
      <c r="D65">
        <v>14</v>
      </c>
    </row>
    <row r="66" spans="1:4">
      <c r="A66" s="1" t="s">
        <v>90</v>
      </c>
      <c r="B66" s="1" t="s">
        <v>91</v>
      </c>
      <c r="C66">
        <v>68</v>
      </c>
      <c r="D66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ED51-6BE2-4A1D-BE73-A593919092F7}">
  <dimension ref="A1:D28"/>
  <sheetViews>
    <sheetView topLeftCell="A24" workbookViewId="0">
      <selection activeCell="B28" sqref="B28"/>
    </sheetView>
  </sheetViews>
  <sheetFormatPr defaultRowHeight="14.45"/>
  <cols>
    <col min="1" max="1" width="15.140625" customWidth="1"/>
    <col min="2" max="2" width="70" customWidth="1"/>
    <col min="3" max="3" width="43.5703125" customWidth="1"/>
    <col min="4" max="4" width="30.5703125" customWidth="1"/>
  </cols>
  <sheetData>
    <row r="1" spans="1:4" s="4" customFormat="1">
      <c r="A1" s="4" t="s">
        <v>97</v>
      </c>
      <c r="B1" s="4" t="s">
        <v>98</v>
      </c>
      <c r="C1" s="4" t="s">
        <v>99</v>
      </c>
    </row>
    <row r="2" spans="1:4" ht="43.5">
      <c r="A2" s="7">
        <v>44520</v>
      </c>
      <c r="B2" s="8" t="s">
        <v>100</v>
      </c>
    </row>
    <row r="4" spans="1:4" ht="87">
      <c r="A4" s="7">
        <v>44610</v>
      </c>
      <c r="B4" s="8" t="s">
        <v>101</v>
      </c>
    </row>
    <row r="6" spans="1:4" ht="29.1">
      <c r="A6" s="7">
        <v>44610</v>
      </c>
      <c r="B6" s="8" t="s">
        <v>102</v>
      </c>
    </row>
    <row r="7" spans="1:4">
      <c r="B7" t="s">
        <v>103</v>
      </c>
      <c r="C7" t="s">
        <v>104</v>
      </c>
      <c r="D7" t="s">
        <v>105</v>
      </c>
    </row>
    <row r="8" spans="1:4">
      <c r="B8" s="8" t="s">
        <v>106</v>
      </c>
      <c r="C8" t="s">
        <v>104</v>
      </c>
    </row>
    <row r="9" spans="1:4">
      <c r="B9" t="s">
        <v>107</v>
      </c>
      <c r="C9" t="s">
        <v>104</v>
      </c>
    </row>
    <row r="11" spans="1:4" ht="29.1">
      <c r="B11" s="8" t="s">
        <v>108</v>
      </c>
    </row>
    <row r="12" spans="1:4">
      <c r="B12" t="s">
        <v>109</v>
      </c>
      <c r="C12" t="s">
        <v>110</v>
      </c>
      <c r="D12" t="s">
        <v>111</v>
      </c>
    </row>
    <row r="13" spans="1:4">
      <c r="B13" t="s">
        <v>112</v>
      </c>
      <c r="C13" t="s">
        <v>104</v>
      </c>
    </row>
    <row r="14" spans="1:4">
      <c r="B14" t="s">
        <v>113</v>
      </c>
      <c r="C14" t="s">
        <v>114</v>
      </c>
      <c r="D14" t="s">
        <v>115</v>
      </c>
    </row>
    <row r="15" spans="1:4">
      <c r="B15" t="s">
        <v>116</v>
      </c>
      <c r="C15" t="s">
        <v>117</v>
      </c>
      <c r="D15" t="s">
        <v>118</v>
      </c>
    </row>
    <row r="17" spans="1:4">
      <c r="B17" t="s">
        <v>119</v>
      </c>
    </row>
    <row r="18" spans="1:4">
      <c r="B18" t="s">
        <v>120</v>
      </c>
      <c r="C18" t="s">
        <v>121</v>
      </c>
    </row>
    <row r="19" spans="1:4">
      <c r="B19" t="s">
        <v>122</v>
      </c>
      <c r="C19" t="s">
        <v>123</v>
      </c>
    </row>
    <row r="20" spans="1:4">
      <c r="B20" t="s">
        <v>124</v>
      </c>
    </row>
    <row r="22" spans="1:4" ht="29.1">
      <c r="A22" s="7">
        <v>44610</v>
      </c>
      <c r="B22" s="8" t="s">
        <v>125</v>
      </c>
    </row>
    <row r="24" spans="1:4" ht="72.599999999999994">
      <c r="A24" s="7">
        <v>44613</v>
      </c>
      <c r="B24" s="8" t="s">
        <v>126</v>
      </c>
      <c r="C24" s="8" t="s">
        <v>127</v>
      </c>
      <c r="D24" s="8" t="s">
        <v>128</v>
      </c>
    </row>
    <row r="26" spans="1:4" ht="87">
      <c r="A26" s="7">
        <v>44617</v>
      </c>
      <c r="B26" s="8" t="s">
        <v>129</v>
      </c>
      <c r="C26" s="8" t="s">
        <v>130</v>
      </c>
    </row>
    <row r="27" spans="1:4" ht="72.599999999999994">
      <c r="B27" s="8" t="s">
        <v>131</v>
      </c>
      <c r="C27" t="s">
        <v>132</v>
      </c>
    </row>
    <row r="28" spans="1:4">
      <c r="A28" s="7">
        <v>44620</v>
      </c>
      <c r="B28" s="8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Nobs</dc:creator>
  <cp:keywords/>
  <dc:description/>
  <cp:lastModifiedBy>Keiran Rowell</cp:lastModifiedBy>
  <cp:revision/>
  <dcterms:created xsi:type="dcterms:W3CDTF">2022-02-17T22:27:55Z</dcterms:created>
  <dcterms:modified xsi:type="dcterms:W3CDTF">2023-06-29T02:24:06Z</dcterms:modified>
  <cp:category/>
  <cp:contentStatus/>
</cp:coreProperties>
</file>